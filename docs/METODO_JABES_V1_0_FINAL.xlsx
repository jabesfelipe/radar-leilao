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 - Controle V1.0" sheetId="1" state="visible" r:id="rId3"/>
    <sheet name="01 - Veredito" sheetId="2" state="visible" r:id="rId4"/>
    <sheet name="02 - Due Diligence" sheetId="3" state="visible" r:id="rId5"/>
    <sheet name="03 - Processos Jurídicos" sheetId="4" state="visible" r:id="rId6"/>
    <sheet name="04 - Financeiro" sheetId="5" state="visible" r:id="rId7"/>
    <sheet name="05 - Mercado" sheetId="6" state="visible" r:id="rId8"/>
    <sheet name="06 - Contexto Humano" sheetId="7" state="visible" r:id="rId9"/>
    <sheet name="07 - Histórico" sheetId="8" state="visible" r:id="rId10"/>
    <sheet name="08 - Documentos" sheetId="9" state="visible" r:id="rId11"/>
    <sheet name="09 - Leiloeiro &amp; Pré-Lanc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<sst xmlns="http://schemas.openxmlformats.org/spreadsheetml/2006/main" count="758" uniqueCount="439">
  <si>
    <t xml:space="preserve">MÉTODO JABES — V1.0 FINAL</t>
  </si>
  <si>
    <t xml:space="preserve">Status</t>
  </si>
  <si>
    <t xml:space="preserve">VERSÃO CONGELADA PARA TESTE REAL</t>
  </si>
  <si>
    <t xml:space="preserve">Objetivo</t>
  </si>
  <si>
    <t xml:space="preserve">Padrão de análise individual de cada imóvel.</t>
  </si>
  <si>
    <t xml:space="preserve">Hard Stops</t>
  </si>
  <si>
    <t xml:space="preserve">Evicção não comprovada, risco jurídico relevante, documentação inconsistente ou custo/lance fora do limite.</t>
  </si>
  <si>
    <t xml:space="preserve">Pré-lance</t>
  </si>
  <si>
    <t xml:space="preserve">Revalidação obrigatória antes de qualquer lance.</t>
  </si>
  <si>
    <t xml:space="preserve">Rastreabilidade</t>
  </si>
  <si>
    <t xml:space="preserve">Fonte, link/documento e data da consulta nos pontos críticos.</t>
  </si>
  <si>
    <t xml:space="preserve">Leiloeiro</t>
  </si>
  <si>
    <t xml:space="preserve">Dados, conferência cruzada e histórico.</t>
  </si>
  <si>
    <t xml:space="preserve">Veredito</t>
  </si>
  <si>
    <t xml:space="preserve">A / B / C / D / E.</t>
  </si>
  <si>
    <t xml:space="preserve">Regra de evolução</t>
  </si>
  <si>
    <t xml:space="preserve">Após 10–20 análises reais, revisar critérios somente se houver evidência de necessidade.</t>
  </si>
  <si>
    <t xml:space="preserve">MÉTODO JABES V2 — VEREDITO</t>
  </si>
  <si>
    <t xml:space="preserve">🔵 INPUT manual | 🟢 cálculo | Registre evidências e fontes</t>
  </si>
  <si>
    <t xml:space="preserve">🎯 IDENTIFICAÇÃO</t>
  </si>
  <si>
    <t xml:space="preserve">Campo</t>
  </si>
  <si>
    <t xml:space="preserve">Valor</t>
  </si>
  <si>
    <t xml:space="preserve">Observação</t>
  </si>
  <si>
    <t xml:space="preserve">Fonte</t>
  </si>
  <si>
    <t xml:space="preserve">Data</t>
  </si>
  <si>
    <t xml:space="preserve">ID imóvel</t>
  </si>
  <si>
    <t xml:space="preserve">Nome / identificação</t>
  </si>
  <si>
    <t xml:space="preserve">Endereço</t>
  </si>
  <si>
    <t xml:space="preserve">Cidade / UF</t>
  </si>
  <si>
    <t xml:space="preserve">Matrícula</t>
  </si>
  <si>
    <t xml:space="preserve">Data da análise</t>
  </si>
  <si>
    <t xml:space="preserve">Origem / leilão</t>
  </si>
  <si>
    <t xml:space="preserve">⭐ PAINEL EXECUTIVO</t>
  </si>
  <si>
    <t xml:space="preserve">Indicador</t>
  </si>
  <si>
    <t xml:space="preserve">Resultado</t>
  </si>
  <si>
    <t xml:space="preserve">Critério</t>
  </si>
  <si>
    <t xml:space="preserve">Segurança jurídica</t>
  </si>
  <si>
    <t xml:space="preserve">Localização</t>
  </si>
  <si>
    <t xml:space="preserve">Liquidez</t>
  </si>
  <si>
    <t xml:space="preserve">Financeiro / ROI</t>
  </si>
  <si>
    <t xml:space="preserve">Contexto humano</t>
  </si>
  <si>
    <t xml:space="preserve">Score final</t>
  </si>
  <si>
    <t xml:space="preserve">Preço máximo recomendado</t>
  </si>
  <si>
    <t xml:space="preserve">Lance / preço atual</t>
  </si>
  <si>
    <t xml:space="preserve">ROI líquido estimado</t>
  </si>
  <si>
    <t xml:space="preserve">Yield líquido anual</t>
  </si>
  <si>
    <t xml:space="preserve">DECISÃO FINAL</t>
  </si>
  <si>
    <t xml:space="preserve">COMPRAR / ACOMPANHAR / NÃO ENTRAR / REPROVAR</t>
  </si>
  <si>
    <t xml:space="preserve">VEREDITO PADRÃO MÉTODO JABES V1.0</t>
  </si>
  <si>
    <t xml:space="preserve">A</t>
  </si>
  <si>
    <t xml:space="preserve">ARREMATAR</t>
  </si>
  <si>
    <t xml:space="preserve">Excelente relação risco × retorno</t>
  </si>
  <si>
    <t xml:space="preserve">B</t>
  </si>
  <si>
    <t xml:space="preserve">ARREMATAR ATÉ R$ X</t>
  </si>
  <si>
    <t xml:space="preserve">Bom negócio, com teto definido</t>
  </si>
  <si>
    <t xml:space="preserve">C</t>
  </si>
  <si>
    <t xml:space="preserve">MONITORAR</t>
  </si>
  <si>
    <t xml:space="preserve">Interessante, mas diligência incompleta</t>
  </si>
  <si>
    <t xml:space="preserve">D</t>
  </si>
  <si>
    <t xml:space="preserve">SÓ SE CAIR PARA R$ X</t>
  </si>
  <si>
    <t xml:space="preserve">Imóvel bom, preço atual não compensa</t>
  </si>
  <si>
    <t xml:space="preserve">E</t>
  </si>
  <si>
    <t xml:space="preserve">REPROVAR</t>
  </si>
  <si>
    <t xml:space="preserve">Não participar</t>
  </si>
  <si>
    <t xml:space="preserve">REGRA CENTRAL</t>
  </si>
  <si>
    <t xml:space="preserve">Imóvel bom ≠ bom arremate. O lance máximo é definido pelo risco, mercado e custo total — nunca pela disputa.</t>
  </si>
  <si>
    <t xml:space="preserve">02 — DUE DILIGENCE — 71 CRITÉRIOS</t>
  </si>
  <si>
    <t xml:space="preserve">⚖️ CHECKLIST MESTRE</t>
  </si>
  <si>
    <t xml:space="preserve">ID</t>
  </si>
  <si>
    <t xml:space="preserve">Bloco</t>
  </si>
  <si>
    <t xml:space="preserve">Valor/Nota</t>
  </si>
  <si>
    <t xml:space="preserve">Evidência / Fonte</t>
  </si>
  <si>
    <t xml:space="preserve">Data da consulta</t>
  </si>
  <si>
    <t xml:space="preserve">Link / Documento</t>
  </si>
  <si>
    <t xml:space="preserve">Observações</t>
  </si>
  <si>
    <t xml:space="preserve">Matrícula identificada</t>
  </si>
  <si>
    <t xml:space="preserve">OK</t>
  </si>
  <si>
    <t xml:space="preserve">Matrícula atualizada</t>
  </si>
  <si>
    <t xml:space="preserve">Cadeia dominial</t>
  </si>
  <si>
    <t xml:space="preserve">Venda fiduciária</t>
  </si>
  <si>
    <t xml:space="preserve">Consolidação</t>
  </si>
  <si>
    <t xml:space="preserve">Constituição em mora</t>
  </si>
  <si>
    <t xml:space="preserve">Purga da mora</t>
  </si>
  <si>
    <t xml:space="preserve">Intimação</t>
  </si>
  <si>
    <t xml:space="preserve">Penhora</t>
  </si>
  <si>
    <t xml:space="preserve">Indisponibilidade / arresto</t>
  </si>
  <si>
    <t xml:space="preserve">Hipoteca / outros ônus</t>
  </si>
  <si>
    <t xml:space="preserve">Usufruto / direitos de terceiros</t>
  </si>
  <si>
    <t xml:space="preserve">Ações envolvendo imóvel</t>
  </si>
  <si>
    <t xml:space="preserve">Ações contra Caixa / procedimento</t>
  </si>
  <si>
    <t xml:space="preserve">Processos do proprietário anterior</t>
  </si>
  <si>
    <t xml:space="preserve">Evicção</t>
  </si>
  <si>
    <t xml:space="preserve">Dependência de advogado</t>
  </si>
  <si>
    <t xml:space="preserve">Edital completo</t>
  </si>
  <si>
    <t xml:space="preserve">Responsabilidade por débitos</t>
  </si>
  <si>
    <t xml:space="preserve">Ocupação</t>
  </si>
  <si>
    <t xml:space="preserve">Desocupação</t>
  </si>
  <si>
    <t xml:space="preserve">Financiamento anterior</t>
  </si>
  <si>
    <t xml:space="preserve">Percentual financiado</t>
  </si>
  <si>
    <t xml:space="preserve">Adimplemento substancial</t>
  </si>
  <si>
    <t xml:space="preserve">Bairro / localização</t>
  </si>
  <si>
    <t xml:space="preserve">Segurança</t>
  </si>
  <si>
    <t xml:space="preserve">Infraestrutura</t>
  </si>
  <si>
    <t xml:space="preserve">Liquidez regional</t>
  </si>
  <si>
    <t xml:space="preserve">Liquidez para aluguel</t>
  </si>
  <si>
    <t xml:space="preserve">Valorização</t>
  </si>
  <si>
    <t xml:space="preserve">Valor de mercado independente</t>
  </si>
  <si>
    <t xml:space="preserve">Comparáveis de venda</t>
  </si>
  <si>
    <t xml:space="preserve">Preço por m²</t>
  </si>
  <si>
    <t xml:space="preserve">Aluguel provável</t>
  </si>
  <si>
    <t xml:space="preserve">Yield bruto</t>
  </si>
  <si>
    <t xml:space="preserve">Tempo de venda</t>
  </si>
  <si>
    <t xml:space="preserve">Oferta e demanda</t>
  </si>
  <si>
    <t xml:space="preserve">Avaliação Caixa</t>
  </si>
  <si>
    <t xml:space="preserve">Lance mínimo</t>
  </si>
  <si>
    <t xml:space="preserve">Desconto</t>
  </si>
  <si>
    <t xml:space="preserve">Comissão leiloeiro</t>
  </si>
  <si>
    <t xml:space="preserve">ITBI</t>
  </si>
  <si>
    <t xml:space="preserve">Registro / documentação</t>
  </si>
  <si>
    <t xml:space="preserve">Condomínio</t>
  </si>
  <si>
    <t xml:space="preserve">IPTU / tributos</t>
  </si>
  <si>
    <t xml:space="preserve">Reforma</t>
  </si>
  <si>
    <t xml:space="preserve">Corretagem de venda</t>
  </si>
  <si>
    <t xml:space="preserve">IR sobre ganho de capital</t>
  </si>
  <si>
    <t xml:space="preserve">Custo total da operação</t>
  </si>
  <si>
    <t xml:space="preserve">Venda líquida</t>
  </si>
  <si>
    <t xml:space="preserve">Lucro líquido</t>
  </si>
  <si>
    <t xml:space="preserve">ROI líquido</t>
  </si>
  <si>
    <t xml:space="preserve">Margem líquida</t>
  </si>
  <si>
    <t xml:space="preserve">Preço máximo por ROI</t>
  </si>
  <si>
    <t xml:space="preserve">Cenário conservador</t>
  </si>
  <si>
    <t xml:space="preserve">Cenário base</t>
  </si>
  <si>
    <t xml:space="preserve">Cenário otimista</t>
  </si>
  <si>
    <t xml:space="preserve">Estado do imóvel</t>
  </si>
  <si>
    <t xml:space="preserve">Instalação elétrica</t>
  </si>
  <si>
    <t xml:space="preserve">Hidráulica</t>
  </si>
  <si>
    <t xml:space="preserve">Pisos / pintura</t>
  </si>
  <si>
    <t xml:space="preserve">Cozinha / banheiro</t>
  </si>
  <si>
    <t xml:space="preserve">Portas / janelas</t>
  </si>
  <si>
    <t xml:space="preserve">Áreas comuns</t>
  </si>
  <si>
    <t xml:space="preserve">Tempo de posse / residência</t>
  </si>
  <si>
    <t xml:space="preserve">Índice de Conforto Pessoal</t>
  </si>
  <si>
    <t xml:space="preserve">Liquidez x margem</t>
  </si>
  <si>
    <t xml:space="preserve">Disciplina de lance</t>
  </si>
  <si>
    <t xml:space="preserve">EVICÇÃO DE DIREITO — HARD STOP</t>
  </si>
  <si>
    <t xml:space="preserve">E01</t>
  </si>
  <si>
    <t xml:space="preserve">Jurídico</t>
  </si>
  <si>
    <t xml:space="preserve">Existe cláusula expressa de garantia contra evicção no edital?</t>
  </si>
  <si>
    <t xml:space="preserve">E02</t>
  </si>
  <si>
    <t xml:space="preserve">Qual item/página do edital contém a garantia?</t>
  </si>
  <si>
    <t xml:space="preserve">Item 18.1</t>
  </si>
  <si>
    <t xml:space="preserve">E03</t>
  </si>
  <si>
    <t xml:space="preserve">A redação cobre perda do imóvel por direito de terceiro?</t>
  </si>
  <si>
    <t xml:space="preserve">E04</t>
  </si>
  <si>
    <t xml:space="preserve">Existem exclusões, ressalvas ou limitações relevantes?</t>
  </si>
  <si>
    <t xml:space="preserve">E05</t>
  </si>
  <si>
    <t xml:space="preserve">Existem ações reais/reipersecutórias ou direitos de terceiros?</t>
  </si>
  <si>
    <t xml:space="preserve">E06</t>
  </si>
  <si>
    <t xml:space="preserve">A cadeia dominial apresenta algum risco residual?</t>
  </si>
  <si>
    <t xml:space="preserve">E07</t>
  </si>
  <si>
    <t xml:space="preserve">A garantia é compatível com esta modalidade de venda?</t>
  </si>
  <si>
    <t xml:space="preserve">E08</t>
  </si>
  <si>
    <t xml:space="preserve">Trecho do edital comprobatório registrado?</t>
  </si>
  <si>
    <t xml:space="preserve">Edital vigente</t>
  </si>
  <si>
    <t xml:space="preserve">14/09/2026</t>
  </si>
  <si>
    <t xml:space="preserve">E09</t>
  </si>
  <si>
    <t xml:space="preserve">Conclusão de evicção: OK / ATENÇÃO / REPROVAR?</t>
  </si>
  <si>
    <t xml:space="preserve">REGRA HARD STOP</t>
  </si>
  <si>
    <t xml:space="preserve">Sem confirmação documental da garantia de evicção = NÃO LIBERAR LANCE.</t>
  </si>
  <si>
    <t xml:space="preserve">03 — PROCESSOS JURÍDICOS</t>
  </si>
  <si>
    <t xml:space="preserve">Nº processo</t>
  </si>
  <si>
    <t xml:space="preserve">Tribunal / comarca</t>
  </si>
  <si>
    <t xml:space="preserve">Parte / proprietário</t>
  </si>
  <si>
    <t xml:space="preserve">Polo</t>
  </si>
  <si>
    <t xml:space="preserve">Assunto</t>
  </si>
  <si>
    <t xml:space="preserve">Situação</t>
  </si>
  <si>
    <t xml:space="preserve">Última movimentação</t>
  </si>
  <si>
    <t xml:space="preserve">Risco</t>
  </si>
  <si>
    <t xml:space="preserve">Impacto</t>
  </si>
  <si>
    <t xml:space="preserve">Fonte/link</t>
  </si>
  <si>
    <t xml:space="preserve">04 — FINANCEIRO</t>
  </si>
  <si>
    <t xml:space="preserve">💰 AQUISIÇÃO</t>
  </si>
  <si>
    <t xml:space="preserve">Tipo</t>
  </si>
  <si>
    <t xml:space="preserve">Lance / preço de compra</t>
  </si>
  <si>
    <t xml:space="preserve">INPUT</t>
  </si>
  <si>
    <t xml:space="preserve">Comissão leiloeiro (%)</t>
  </si>
  <si>
    <t xml:space="preserve">Comissão leiloeiro (R$)</t>
  </si>
  <si>
    <t xml:space="preserve">CALCULADO</t>
  </si>
  <si>
    <t xml:space="preserve">ITBI (%)</t>
  </si>
  <si>
    <t xml:space="preserve">ITBI (R$)</t>
  </si>
  <si>
    <t xml:space="preserve">Condomínio / débitos</t>
  </si>
  <si>
    <t xml:space="preserve">Tributos / débitos</t>
  </si>
  <si>
    <t xml:space="preserve">Reserva / imprevistos</t>
  </si>
  <si>
    <t xml:space="preserve">Custo jurídico preventivo</t>
  </si>
  <si>
    <t xml:space="preserve">Custo potencial jurídico</t>
  </si>
  <si>
    <t xml:space="preserve">Probabilidade jurídica (%)</t>
  </si>
  <si>
    <t xml:space="preserve">Custo jurídico esperado</t>
  </si>
  <si>
    <t xml:space="preserve">Reserva risco jurídico</t>
  </si>
  <si>
    <t xml:space="preserve">CUSTO TOTAL AQUISIÇÃO</t>
  </si>
  <si>
    <t xml:space="preserve">🏷️ VENDA</t>
  </si>
  <si>
    <t xml:space="preserve">Preço de venda</t>
  </si>
  <si>
    <t xml:space="preserve">Corretagem venda (%)</t>
  </si>
  <si>
    <t xml:space="preserve">Corretagem venda (R$)</t>
  </si>
  <si>
    <t xml:space="preserve">Outros custos venda</t>
  </si>
  <si>
    <t xml:space="preserve">Base IR</t>
  </si>
  <si>
    <t xml:space="preserve">IR (%)</t>
  </si>
  <si>
    <t xml:space="preserve">IR estimado</t>
  </si>
  <si>
    <t xml:space="preserve">VENDA LÍQUIDA</t>
  </si>
  <si>
    <t xml:space="preserve">LUCRO LÍQUIDO</t>
  </si>
  <si>
    <t xml:space="preserve">ROI LÍQUIDO</t>
  </si>
  <si>
    <t xml:space="preserve">MARGEM LÍQUIDA</t>
  </si>
  <si>
    <t xml:space="preserve">🏠 ALUGUEL</t>
  </si>
  <si>
    <t xml:space="preserve">Aluguel mensal bruto</t>
  </si>
  <si>
    <t xml:space="preserve">Condomínio mensal</t>
  </si>
  <si>
    <t xml:space="preserve">IPTU mensal</t>
  </si>
  <si>
    <t xml:space="preserve">Seguro/taxas</t>
  </si>
  <si>
    <t xml:space="preserve">Manutenção</t>
  </si>
  <si>
    <t xml:space="preserve">Vacância (%)</t>
  </si>
  <si>
    <t xml:space="preserve">Vacância (R$)</t>
  </si>
  <si>
    <t xml:space="preserve">IR aluguel (%)</t>
  </si>
  <si>
    <t xml:space="preserve">IR aluguel</t>
  </si>
  <si>
    <t xml:space="preserve">ALUGUEL LÍQUIDO</t>
  </si>
  <si>
    <t xml:space="preserve">YIELD BRUTO MENSAL</t>
  </si>
  <si>
    <t xml:space="preserve">YIELD LÍQUIDO MENSAL</t>
  </si>
  <si>
    <t xml:space="preserve">YIELD LÍQUIDO ANUAL</t>
  </si>
  <si>
    <t xml:space="preserve">RENDA LÍQUIDA ANUAL</t>
  </si>
  <si>
    <t xml:space="preserve">📈 VALORIZAÇÃO</t>
  </si>
  <si>
    <t xml:space="preserve">Valorização anual (%)</t>
  </si>
  <si>
    <t xml:space="preserve">Valor mercado atual</t>
  </si>
  <si>
    <t xml:space="preserve">Valor após 1 ano</t>
  </si>
  <si>
    <t xml:space="preserve">Ganho patrimonial</t>
  </si>
  <si>
    <t xml:space="preserve">Renda líquida anual</t>
  </si>
  <si>
    <t xml:space="preserve">RETORNO TOTAL 1º ANO</t>
  </si>
  <si>
    <t xml:space="preserve">RETORNO TOTAL / CUSTO</t>
  </si>
  <si>
    <t xml:space="preserve">🎯 PREÇO MÁXIMO</t>
  </si>
  <si>
    <t xml:space="preserve">ROI alvo</t>
  </si>
  <si>
    <t xml:space="preserve">Preço venda</t>
  </si>
  <si>
    <t xml:space="preserve">Corretagem venda</t>
  </si>
  <si>
    <t xml:space="preserve">IR</t>
  </si>
  <si>
    <t xml:space="preserve">Custos fixos</t>
  </si>
  <si>
    <t xml:space="preserve">Comissão compra</t>
  </si>
  <si>
    <t xml:space="preserve">PREÇO MÁXIMO</t>
  </si>
  <si>
    <t xml:space="preserve">05 — MERCADO</t>
  </si>
  <si>
    <t xml:space="preserve">🏘️ COMPARÁVEIS</t>
  </si>
  <si>
    <t xml:space="preserve">Endereço / condomínio</t>
  </si>
  <si>
    <t xml:space="preserve">Área m²</t>
  </si>
  <si>
    <t xml:space="preserve">Quartos</t>
  </si>
  <si>
    <t xml:space="preserve">Vagas</t>
  </si>
  <si>
    <t xml:space="preserve">Preço</t>
  </si>
  <si>
    <t xml:space="preserve">Preço/m²</t>
  </si>
  <si>
    <t xml:space="preserve">Aluguel</t>
  </si>
  <si>
    <t xml:space="preserve">Link</t>
  </si>
  <si>
    <t xml:space="preserve">ZAP</t>
  </si>
  <si>
    <t xml:space="preserve">Residencial Piazza San Pietro</t>
  </si>
  <si>
    <t xml:space="preserve">Apartamento</t>
  </si>
  <si>
    <t xml:space="preserve">Mesmo condomínio</t>
  </si>
  <si>
    <t xml:space="preserve">Chaves na Mão</t>
  </si>
  <si>
    <t xml:space="preserve">Referência de mercado</t>
  </si>
  <si>
    <t xml:space="preserve">Caixa</t>
  </si>
  <si>
    <t xml:space="preserve">Unidade em análise</t>
  </si>
  <si>
    <t xml:space="preserve">Preço do leilão</t>
  </si>
  <si>
    <t xml:space="preserve">📊 CONCLUSÕES</t>
  </si>
  <si>
    <t xml:space="preserve">Valor mercado conservador</t>
  </si>
  <si>
    <t xml:space="preserve">Valor mercado provável</t>
  </si>
  <si>
    <t xml:space="preserve">Score localização</t>
  </si>
  <si>
    <t xml:space="preserve">Score liquidez</t>
  </si>
  <si>
    <t xml:space="preserve">Preço/m² provável</t>
  </si>
  <si>
    <t xml:space="preserve">Tempo provável de venda</t>
  </si>
  <si>
    <t xml:space="preserve">60-90 dias</t>
  </si>
  <si>
    <t xml:space="preserve">Valorização esperada</t>
  </si>
  <si>
    <t xml:space="preserve">06 — CONTEXTO HUMANO</t>
  </si>
  <si>
    <t xml:space="preserve">🧑 CONTEXTO E CONFORTO</t>
  </si>
  <si>
    <t xml:space="preserve">O que observar</t>
  </si>
  <si>
    <t xml:space="preserve">Perfil proprietário anterior</t>
  </si>
  <si>
    <t xml:space="preserve">Tempo de propriedade</t>
  </si>
  <si>
    <t xml:space="preserve">Tempo de residência</t>
  </si>
  <si>
    <t xml:space="preserve">Imóvel ocupado?</t>
  </si>
  <si>
    <t xml:space="preserve">Idade aproximada, se disponível</t>
  </si>
  <si>
    <t xml:space="preserve">Indícios de vulnerabilidade</t>
  </si>
  <si>
    <t xml:space="preserve">Situação aparente</t>
  </si>
  <si>
    <t xml:space="preserve">Histórico de inadimplência</t>
  </si>
  <si>
    <t xml:space="preserve">Observações humanas</t>
  </si>
  <si>
    <t xml:space="preserve">Conforto pessoal com aquisição</t>
  </si>
  <si>
    <t xml:space="preserve">0 a 100</t>
  </si>
  <si>
    <t xml:space="preserve">Score Contexto Humano</t>
  </si>
  <si>
    <t xml:space="preserve">07 — HISTÓRICO DA ANÁLISE</t>
  </si>
  <si>
    <t xml:space="preserve">Etapa</t>
  </si>
  <si>
    <t xml:space="preserve">Evento / alteração</t>
  </si>
  <si>
    <t xml:space="preserve">Lance</t>
  </si>
  <si>
    <t xml:space="preserve">Valor mercado</t>
  </si>
  <si>
    <t xml:space="preserve">Custo total</t>
  </si>
  <si>
    <t xml:space="preserve">ROI</t>
  </si>
  <si>
    <t xml:space="preserve">Score</t>
  </si>
  <si>
    <t xml:space="preserve">Decisão</t>
  </si>
  <si>
    <t xml:space="preserve">Responsável</t>
  </si>
  <si>
    <t xml:space="preserve">Fonte/evidência</t>
  </si>
  <si>
    <t xml:space="preserve">08 — DOCUMENTOS E EVIDÊNCIAS</t>
  </si>
  <si>
    <t xml:space="preserve">Documento</t>
  </si>
  <si>
    <t xml:space="preserve">Link / localização</t>
  </si>
  <si>
    <t xml:space="preserve">O que comprova</t>
  </si>
  <si>
    <t xml:space="preserve">MÉTODO JABES — LEILOEIRO &amp; PRÉ-LANCE</t>
  </si>
  <si>
    <t xml:space="preserve">🔵 INPUT manual  |  🟢 validação  |  🔴 bloqueio / reprovação  |  Tudo deve ter fonte/evidência</t>
  </si>
  <si>
    <t xml:space="preserve">🔨 DADOS DO LEILOEIRO</t>
  </si>
  <si>
    <t xml:space="preserve">Status / Critério</t>
  </si>
  <si>
    <t xml:space="preserve">Fonte / Evidência</t>
  </si>
  <si>
    <t xml:space="preserve">Nome do leiloeiro</t>
  </si>
  <si>
    <t xml:space="preserve">Ives Harrisson Nasar dos Santos</t>
  </si>
  <si>
    <t xml:space="preserve">Conferir no edital vigente</t>
  </si>
  <si>
    <t xml:space="preserve">Edital 0031/0326-CPVE/RE</t>
  </si>
  <si>
    <t xml:space="preserve">Registro / matrícula JUC</t>
  </si>
  <si>
    <t xml:space="preserve">PREENCHER</t>
  </si>
  <si>
    <t xml:space="preserve">Obrigatório conferir</t>
  </si>
  <si>
    <t xml:space="preserve">Fonte oficial / edital / JUC</t>
  </si>
  <si>
    <t xml:space="preserve">CPF/CNPJ</t>
  </si>
  <si>
    <t xml:space="preserve">Conferir se disponível</t>
  </si>
  <si>
    <t xml:space="preserve">Fonte oficial</t>
  </si>
  <si>
    <t xml:space="preserve">Empresa / marca</t>
  </si>
  <si>
    <t xml:space="preserve">Nasar Leilões</t>
  </si>
  <si>
    <t xml:space="preserve">Conferir</t>
  </si>
  <si>
    <t xml:space="preserve">Site / plataforma</t>
  </si>
  <si>
    <t xml:space="preserve">Conferir domínio oficial</t>
  </si>
  <si>
    <t xml:space="preserve">Edital / site oficial</t>
  </si>
  <si>
    <t xml:space="preserve">E-mail oficial</t>
  </si>
  <si>
    <t xml:space="preserve">Não usar contato não confirmado</t>
  </si>
  <si>
    <t xml:space="preserve">Telefone oficial</t>
  </si>
  <si>
    <t xml:space="preserve">Comissão</t>
  </si>
  <si>
    <t xml:space="preserve">5% da proposta</t>
  </si>
  <si>
    <t xml:space="preserve">Confirmada no edital; fora do lance</t>
  </si>
  <si>
    <t xml:space="preserve">Forma/prazo da comissão</t>
  </si>
  <si>
    <t xml:space="preserve">Paga pelo arrematante/classificado; no dia da sessão</t>
  </si>
  <si>
    <t xml:space="preserve">Conferir edital vigente</t>
  </si>
  <si>
    <t xml:space="preserve">Dados bancários para pagamento</t>
  </si>
  <si>
    <t xml:space="preserve">PREENCHER APENAS APÓS HOMOLOGAÇÃO/ORIENTAÇÃO OFICIAL</t>
  </si>
  <si>
    <t xml:space="preserve">Nunca confiar em mensagem isolada</t>
  </si>
  <si>
    <t xml:space="preserve">Edital / canal oficial</t>
  </si>
  <si>
    <t xml:space="preserve">📜 DADOS DO CERTAME</t>
  </si>
  <si>
    <t xml:space="preserve">Edital</t>
  </si>
  <si>
    <t xml:space="preserve">0031/0326-CPVE/RE</t>
  </si>
  <si>
    <t xml:space="preserve">Conferir versão vigente</t>
  </si>
  <si>
    <t xml:space="preserve">Item do imóvel</t>
  </si>
  <si>
    <t xml:space="preserve">227</t>
  </si>
  <si>
    <t xml:space="preserve">Deve bater com o imóvel</t>
  </si>
  <si>
    <t xml:space="preserve">Data/hora da sessão</t>
  </si>
  <si>
    <t xml:space="preserve">15/09/2026 10:00 (PDF) — portal Caixa informa 29/09/2026 10:00</t>
  </si>
  <si>
    <t xml:space="preserve">⚠️ DIVERGÊNCIA — confirmar antes do lance</t>
  </si>
  <si>
    <t xml:space="preserve">Portal Caixa + edital</t>
  </si>
  <si>
    <t xml:space="preserve">Plataforma da sessão</t>
  </si>
  <si>
    <t xml:space="preserve">Conferir acesso no dia</t>
  </si>
  <si>
    <t xml:space="preserve">Valor mínimo</t>
  </si>
  <si>
    <t xml:space="preserve">R$ 191.651,31</t>
  </si>
  <si>
    <t xml:space="preserve">Atualizar se houver nova publicação</t>
  </si>
  <si>
    <t xml:space="preserve">Portal Caixa / edital</t>
  </si>
  <si>
    <t xml:space="preserve">Comissão fora do lance</t>
  </si>
  <si>
    <t xml:space="preserve">5%</t>
  </si>
  <si>
    <t xml:space="preserve">Somar no custo total</t>
  </si>
  <si>
    <t xml:space="preserve">Forma de pagamento</t>
  </si>
  <si>
    <t xml:space="preserve">Recursos próprios / FGTS conforme página; sem financiamento</t>
  </si>
  <si>
    <t xml:space="preserve">Conferir regra vigente</t>
  </si>
  <si>
    <t xml:space="preserve">Portal Caixa</t>
  </si>
  <si>
    <t xml:space="preserve">🛑 HARD STOPS — NÃO DAR LANCE SE...</t>
  </si>
  <si>
    <t xml:space="preserve">Edital vigente não confirmado</t>
  </si>
  <si>
    <t xml:space="preserve">NÃO</t>
  </si>
  <si>
    <t xml:space="preserve">REPROVAR se não houver versão válida</t>
  </si>
  <si>
    <t xml:space="preserve">Data/hora/plataforma divergente sem confirmação</t>
  </si>
  <si>
    <t xml:space="preserve">REPROVAR / PAUSAR</t>
  </si>
  <si>
    <t xml:space="preserve">Evicção não atendida pelo Método Jabes</t>
  </si>
  <si>
    <t xml:space="preserve">Matrícula / situação jurídica com dúvida material</t>
  </si>
  <si>
    <t xml:space="preserve">Débitos ou ocupação sem estimativa confiável</t>
  </si>
  <si>
    <t xml:space="preserve">Custo total acima do orçamento definido</t>
  </si>
  <si>
    <t xml:space="preserve">Lance necessário acima do lance máximo</t>
  </si>
  <si>
    <t xml:space="preserve">NÃO ENTRAR</t>
  </si>
  <si>
    <t xml:space="preserve">Pagamento/comissão não compreendidos</t>
  </si>
  <si>
    <t xml:space="preserve">Necessidade de advogado para aceitar o risco</t>
  </si>
  <si>
    <t xml:space="preserve">REPROVAR pelo critério pessoal</t>
  </si>
  <si>
    <t xml:space="preserve">✅ CHECKLIST PRÉ-LANCE — REVALIDAÇÃO</t>
  </si>
  <si>
    <t xml:space="preserve">Edital vigente conferido</t>
  </si>
  <si>
    <t xml:space="preserve">Deve ser SIM</t>
  </si>
  <si>
    <t xml:space="preserve">Matrícula/documentação rechecadas</t>
  </si>
  <si>
    <t xml:space="preserve">Valor mínimo atualizado</t>
  </si>
  <si>
    <t xml:space="preserve">Comissão confirmada</t>
  </si>
  <si>
    <t xml:space="preserve">Regra de condomínio/IPTU confirmada</t>
  </si>
  <si>
    <t xml:space="preserve">Ocupação reavaliada</t>
  </si>
  <si>
    <t xml:space="preserve">Mercado/comparáveis ainda válidos</t>
  </si>
  <si>
    <t xml:space="preserve">Custo total recalculado</t>
  </si>
  <si>
    <t xml:space="preserve">Lance máximo definido</t>
  </si>
  <si>
    <t xml:space="preserve">Dinheiro disponível para lance + custos</t>
  </si>
  <si>
    <t xml:space="preserve">Leiloeiro/plataforma conferidos</t>
  </si>
  <si>
    <t xml:space="preserve">Sem alteração material desde a análise</t>
  </si>
  <si>
    <t xml:space="preserve">🎯 DISCIPLINA DE LANCE</t>
  </si>
  <si>
    <t xml:space="preserve">Lance máximo autorizado</t>
  </si>
  <si>
    <t xml:space="preserve">Nunca ultrapassar</t>
  </si>
  <si>
    <t xml:space="preserve">Financeiro / Método Jabes</t>
  </si>
  <si>
    <t xml:space="preserve">Lance máximo absoluto</t>
  </si>
  <si>
    <t xml:space="preserve">Teto final, mesmo sob disputa</t>
  </si>
  <si>
    <t xml:space="preserve">Definido antes da sessão</t>
  </si>
  <si>
    <t xml:space="preserve">Lance atual</t>
  </si>
  <si>
    <t xml:space="preserve">Atualizar durante disputa</t>
  </si>
  <si>
    <t xml:space="preserve">Sessão</t>
  </si>
  <si>
    <t xml:space="preserve">NÃO LIBERADO</t>
  </si>
  <si>
    <t xml:space="preserve">Só LIBERADO após checklist</t>
  </si>
  <si>
    <t xml:space="preserve">Revalidação</t>
  </si>
  <si>
    <t xml:space="preserve">Motivo para sair da disputa</t>
  </si>
  <si>
    <t xml:space="preserve">Preço acima do teto ou qualquer hard stop</t>
  </si>
  <si>
    <t xml:space="preserve">SAIR SEM EXCEÇÃO</t>
  </si>
  <si>
    <t xml:space="preserve">Regra pessoal</t>
  </si>
  <si>
    <t xml:space="preserve">🟢 LIBERAÇÃO FINAL</t>
  </si>
  <si>
    <t xml:space="preserve">Checklist pré-lance concluído</t>
  </si>
  <si>
    <t xml:space="preserve">Todos os 12 itens devem ser SIM</t>
  </si>
  <si>
    <t xml:space="preserve">Automático</t>
  </si>
  <si>
    <t xml:space="preserve">Hard stops</t>
  </si>
  <si>
    <t xml:space="preserve">Marque SIM em qualquer bloqueio</t>
  </si>
  <si>
    <t xml:space="preserve">Decisão operacional</t>
  </si>
  <si>
    <t xml:space="preserve">Só liberar com teto definido e lance atual &lt;= teto</t>
  </si>
  <si>
    <t xml:space="preserve">REVALIDAÇÃO FINAL — DIA DO LANCE</t>
  </si>
  <si>
    <t xml:space="preserve">Data e horário confirmados no portal oficial e no leiloeiro</t>
  </si>
  <si>
    <t xml:space="preserve">Leiloeiro do portal = leiloeiro do edital = plataforma</t>
  </si>
  <si>
    <t xml:space="preserve">Débitos/condomínio/IPTU rechecados</t>
  </si>
  <si>
    <t xml:space="preserve">Ocupação rechecadas</t>
  </si>
  <si>
    <t xml:space="preserve">Condições de pagamento confirmadas</t>
  </si>
  <si>
    <t xml:space="preserve">Evicção documentalmente confirmada</t>
  </si>
  <si>
    <t xml:space="preserve">Não existem divergências pendentes</t>
  </si>
  <si>
    <t xml:space="preserve">Lance máximo definido e respeitado</t>
  </si>
  <si>
    <t xml:space="preserve">Reserva de contingência disponível</t>
  </si>
  <si>
    <t xml:space="preserve">LIBERAÇÃO FINAL PARA DAR LANCE</t>
  </si>
  <si>
    <t xml:space="preserve">DIVERGÊNCIAS DOCUMENTAIS</t>
  </si>
  <si>
    <t xml:space="preserve">Fonte A</t>
  </si>
  <si>
    <t xml:space="preserve">Informação A</t>
  </si>
  <si>
    <t xml:space="preserve">Fonte B</t>
  </si>
  <si>
    <t xml:space="preserve">Informação B</t>
  </si>
  <si>
    <t xml:space="preserve">Impacto / decisão</t>
  </si>
  <si>
    <t xml:space="preserve">HISTÓRICO DO LEILOEIRO</t>
  </si>
  <si>
    <t xml:space="preserve">Item</t>
  </si>
  <si>
    <t xml:space="preserve">Verificação</t>
  </si>
  <si>
    <t xml:space="preserve">Registro oficial / Junta Comercial</t>
  </si>
  <si>
    <t xml:space="preserve">Site oficial</t>
  </si>
  <si>
    <t xml:space="preserve">Experiência com Caixa</t>
  </si>
  <si>
    <t xml:space="preserve">Reclamações relevantes</t>
  </si>
  <si>
    <t xml:space="preserve">Histórico de divergências</t>
  </si>
  <si>
    <t xml:space="preserve">Plataforma utilizada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</si>
</sst>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E2F0D9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D9EAD3"/>
      </patternFill>
    </fill>
    <fill>
      <patternFill patternType="solid">
        <fgColor rgb="FFD9EAD3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2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</row>
    <row r="6" customFormat="false" ht="1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1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</sheetData>
  <mergeCells count="9">
    <mergeCell ref="A1:F1"/>
    <mergeCell ref="B3:F3"/>
    <mergeCell ref="B4:F4"/>
    <mergeCell ref="B5:F5"/>
    <mergeCell ref="B6:F6"/>
    <mergeCell ref="B7:F7"/>
    <mergeCell ref="B8:F8"/>
    <mergeCell ref="B9:F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17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8"/>
    </row>
    <row r="6" customFormat="false" ht="15" hidden="false" customHeight="true" outlineLevel="0" collapsed="false">
      <c r="A6" s="9" t="s">
        <v>25</v>
      </c>
      <c r="B6" s="10"/>
      <c r="C6" s="9"/>
      <c r="D6" s="9"/>
      <c r="E6" s="9"/>
      <c r="F6" s="9"/>
    </row>
    <row r="7" customFormat="false" ht="15" hidden="false" customHeight="true" outlineLevel="0" collapsed="false">
      <c r="A7" s="9" t="s">
        <v>26</v>
      </c>
      <c r="B7" s="10"/>
      <c r="C7" s="9"/>
      <c r="D7" s="9"/>
      <c r="E7" s="9"/>
      <c r="F7" s="9"/>
    </row>
    <row r="8" customFormat="false" ht="15" hidden="false" customHeight="true" outlineLevel="0" collapsed="false">
      <c r="A8" s="9" t="s">
        <v>27</v>
      </c>
      <c r="B8" s="10"/>
      <c r="C8" s="9"/>
      <c r="D8" s="9"/>
      <c r="E8" s="9"/>
      <c r="F8" s="9"/>
    </row>
    <row r="9" customFormat="false" ht="15" hidden="false" customHeight="true" outlineLevel="0" collapsed="false">
      <c r="A9" s="9" t="s">
        <v>28</v>
      </c>
      <c r="B9" s="10"/>
      <c r="C9" s="9"/>
      <c r="D9" s="9"/>
      <c r="E9" s="9"/>
      <c r="F9" s="9"/>
    </row>
    <row r="10" customFormat="false" ht="15" hidden="false" customHeight="true" outlineLevel="0" collapsed="false">
      <c r="A10" s="9" t="s">
        <v>29</v>
      </c>
      <c r="B10" s="10"/>
      <c r="C10" s="9"/>
      <c r="D10" s="9"/>
      <c r="E10" s="9"/>
      <c r="F10" s="9"/>
    </row>
    <row r="11" customFormat="false" ht="15" hidden="false" customHeight="true" outlineLevel="0" collapsed="false">
      <c r="A11" s="9" t="s">
        <v>30</v>
      </c>
      <c r="B11" s="10"/>
      <c r="C11" s="9"/>
      <c r="D11" s="9"/>
      <c r="E11" s="9"/>
      <c r="F11" s="9"/>
    </row>
    <row r="12" customFormat="false" ht="15" hidden="false" customHeight="true" outlineLevel="0" collapsed="false">
      <c r="A12" s="9" t="s">
        <v>31</v>
      </c>
      <c r="B12" s="10"/>
      <c r="C12" s="9"/>
      <c r="D12" s="9"/>
      <c r="E12" s="9"/>
      <c r="F12" s="9"/>
    </row>
    <row r="13" customFormat="false" ht="15" hidden="false" customHeight="true" outlineLevel="0" collapsed="false">
      <c r="A13" s="9" t="s">
        <v>1</v>
      </c>
      <c r="B13" s="10"/>
      <c r="C13" s="9"/>
      <c r="D13" s="9"/>
      <c r="E13" s="9"/>
      <c r="F13" s="9"/>
    </row>
    <row r="16" customFormat="false" ht="15" hidden="false" customHeight="true" outlineLevel="0" collapsed="false">
      <c r="A16" s="6" t="s">
        <v>32</v>
      </c>
      <c r="B16" s="6"/>
      <c r="C16" s="6"/>
      <c r="D16" s="6"/>
      <c r="E16" s="6"/>
      <c r="F16" s="6"/>
    </row>
    <row r="17" customFormat="false" ht="15" hidden="false" customHeight="true" outlineLevel="0" collapsed="false">
      <c r="A17" s="7" t="s">
        <v>33</v>
      </c>
      <c r="B17" s="7" t="s">
        <v>34</v>
      </c>
      <c r="C17" s="7" t="s">
        <v>35</v>
      </c>
      <c r="D17" s="7" t="s">
        <v>23</v>
      </c>
      <c r="E17" s="8"/>
      <c r="F17" s="8"/>
    </row>
    <row r="18" customFormat="false" ht="15" hidden="false" customHeight="true" outlineLevel="0" collapsed="false">
      <c r="A18" s="9" t="s">
        <v>36</v>
      </c>
      <c r="B18" s="11" t="n">
        <f aca="false">'02 - Due Diligence'!B78</f>
        <v>100</v>
      </c>
      <c r="C18" s="9"/>
      <c r="D18" s="9"/>
      <c r="E18" s="9"/>
      <c r="F18" s="9"/>
    </row>
    <row r="19" customFormat="false" ht="15" hidden="false" customHeight="true" outlineLevel="0" collapsed="false">
      <c r="A19" s="9" t="s">
        <v>37</v>
      </c>
      <c r="B19" s="11" t="n">
        <f aca="false">'05 - Mercado'!B32</f>
        <v>85</v>
      </c>
      <c r="C19" s="9"/>
      <c r="D19" s="9"/>
      <c r="E19" s="9"/>
      <c r="F19" s="9"/>
    </row>
    <row r="20" customFormat="false" ht="15" hidden="false" customHeight="true" outlineLevel="0" collapsed="false">
      <c r="A20" s="9" t="s">
        <v>38</v>
      </c>
      <c r="B20" s="11" t="n">
        <f aca="false">'05 - Mercado'!B33</f>
        <v>80</v>
      </c>
      <c r="C20" s="9"/>
      <c r="D20" s="9"/>
      <c r="E20" s="9"/>
      <c r="F20" s="9"/>
    </row>
    <row r="21" customFormat="false" ht="15" hidden="false" customHeight="true" outlineLevel="0" collapsed="false">
      <c r="A21" s="9" t="s">
        <v>39</v>
      </c>
      <c r="B21" s="11" t="n">
        <f aca="false">'04 - Financeiro'!B34*100</f>
        <v>20.1007393941372</v>
      </c>
      <c r="C21" s="9"/>
      <c r="D21" s="9"/>
      <c r="E21" s="9"/>
      <c r="F21" s="9"/>
    </row>
    <row r="22" customFormat="false" ht="15" hidden="false" customHeight="true" outlineLevel="0" collapsed="false">
      <c r="A22" s="9" t="s">
        <v>40</v>
      </c>
      <c r="B22" s="11" t="n">
        <f aca="false">'06 - Contexto Humano'!B20</f>
        <v>85</v>
      </c>
      <c r="C22" s="9"/>
      <c r="D22" s="9"/>
      <c r="E22" s="9"/>
      <c r="F22" s="9"/>
    </row>
    <row r="23" customFormat="false" ht="15" hidden="false" customHeight="true" outlineLevel="0" collapsed="false">
      <c r="A23" s="9" t="s">
        <v>41</v>
      </c>
      <c r="B23" s="11" t="n">
        <f aca="false">AVERAGE(B18:B22)</f>
        <v>74.0201478788274</v>
      </c>
      <c r="C23" s="9"/>
      <c r="D23" s="9"/>
      <c r="E23" s="9"/>
      <c r="F23" s="9"/>
    </row>
    <row r="25" customFormat="false" ht="15" hidden="false" customHeight="true" outlineLevel="0" collapsed="false">
      <c r="A25" s="9" t="s">
        <v>42</v>
      </c>
      <c r="B25" s="12" t="n">
        <f aca="false">'04 - Financeiro'!B73</f>
        <v>168374.760994264</v>
      </c>
      <c r="C25" s="9"/>
      <c r="D25" s="9"/>
      <c r="E25" s="9"/>
      <c r="F25" s="9"/>
    </row>
    <row r="26" customFormat="false" ht="15" hidden="false" customHeight="true" outlineLevel="0" collapsed="false">
      <c r="A26" s="9" t="s">
        <v>43</v>
      </c>
      <c r="B26" s="12" t="n">
        <f aca="false">'04 - Financeiro'!B6</f>
        <v>191651.31</v>
      </c>
      <c r="C26" s="9"/>
      <c r="D26" s="9"/>
      <c r="E26" s="9"/>
      <c r="F26" s="9"/>
    </row>
    <row r="27" customFormat="false" ht="15" hidden="false" customHeight="true" outlineLevel="0" collapsed="false">
      <c r="A27" s="9" t="s">
        <v>44</v>
      </c>
      <c r="B27" s="13" t="n">
        <f aca="false">'04 - Financeiro'!B34</f>
        <v>0.201007393941372</v>
      </c>
      <c r="C27" s="9"/>
      <c r="D27" s="9"/>
      <c r="E27" s="9"/>
      <c r="F27" s="9"/>
    </row>
    <row r="28" customFormat="false" ht="15" hidden="false" customHeight="true" outlineLevel="0" collapsed="false">
      <c r="A28" s="9" t="s">
        <v>45</v>
      </c>
      <c r="B28" s="13" t="n">
        <f aca="false">'04 - Financeiro'!B52</f>
        <v>0.0615608836501329</v>
      </c>
      <c r="C28" s="9"/>
      <c r="D28" s="9"/>
      <c r="E28" s="9"/>
      <c r="F28" s="9"/>
    </row>
    <row r="29" customFormat="false" ht="27.75" hidden="false" customHeight="true" outlineLevel="0" collapsed="false">
      <c r="A29" s="9" t="s">
        <v>46</v>
      </c>
      <c r="B29" s="10"/>
      <c r="C29" s="9" t="s">
        <v>47</v>
      </c>
      <c r="D29" s="9"/>
      <c r="E29" s="9"/>
      <c r="F29" s="9"/>
    </row>
    <row r="32" customFormat="false" ht="15" hidden="false" customHeight="true" outlineLevel="0" collapsed="false">
      <c r="A32" s="6" t="s">
        <v>48</v>
      </c>
      <c r="B32" s="6"/>
      <c r="C32" s="6"/>
      <c r="D32" s="6"/>
      <c r="E32" s="6"/>
      <c r="F32" s="6"/>
    </row>
    <row r="33" customFormat="false" ht="15" hidden="false" customHeight="true" outlineLevel="0" collapsed="false">
      <c r="A33" s="14" t="s">
        <v>49</v>
      </c>
      <c r="B33" s="14" t="s">
        <v>50</v>
      </c>
      <c r="C33" s="15" t="s">
        <v>51</v>
      </c>
    </row>
    <row r="34" customFormat="false" ht="15" hidden="false" customHeight="true" outlineLevel="0" collapsed="false">
      <c r="A34" s="14" t="s">
        <v>52</v>
      </c>
      <c r="B34" s="14" t="s">
        <v>53</v>
      </c>
      <c r="C34" s="15" t="s">
        <v>54</v>
      </c>
    </row>
    <row r="35" customFormat="false" ht="15" hidden="false" customHeight="true" outlineLevel="0" collapsed="false">
      <c r="A35" s="16" t="s">
        <v>55</v>
      </c>
      <c r="B35" s="16" t="s">
        <v>56</v>
      </c>
      <c r="C35" s="15" t="s">
        <v>57</v>
      </c>
    </row>
    <row r="36" customFormat="false" ht="15" hidden="false" customHeight="true" outlineLevel="0" collapsed="false">
      <c r="A36" s="16" t="s">
        <v>58</v>
      </c>
      <c r="B36" s="16" t="s">
        <v>59</v>
      </c>
      <c r="C36" s="15" t="s">
        <v>60</v>
      </c>
    </row>
    <row r="37" customFormat="false" ht="15" hidden="false" customHeight="true" outlineLevel="0" collapsed="false">
      <c r="A37" s="17" t="s">
        <v>61</v>
      </c>
      <c r="B37" s="17" t="s">
        <v>62</v>
      </c>
      <c r="C37" s="15" t="s">
        <v>63</v>
      </c>
    </row>
    <row r="39" customFormat="false" ht="15" hidden="false" customHeight="true" outlineLevel="0" collapsed="false">
      <c r="A39" s="18" t="s">
        <v>64</v>
      </c>
      <c r="B39" s="18"/>
      <c r="C39" s="18"/>
      <c r="D39" s="18"/>
      <c r="E39" s="18"/>
      <c r="F39" s="18"/>
    </row>
    <row r="40" customFormat="false" ht="15" hidden="false" customHeight="true" outlineLevel="0" collapsed="false">
      <c r="A40" s="4" t="s">
        <v>65</v>
      </c>
      <c r="B40" s="4"/>
      <c r="C40" s="4"/>
      <c r="D40" s="4"/>
      <c r="E40" s="4"/>
      <c r="F40" s="4"/>
    </row>
  </sheetData>
  <mergeCells count="7">
    <mergeCell ref="A1:F1"/>
    <mergeCell ref="A2:F2"/>
    <mergeCell ref="A4:F4"/>
    <mergeCell ref="A16:F16"/>
    <mergeCell ref="A32:F32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8"/>
    <col collapsed="false" customWidth="true" hidden="false" outlineLevel="0" max="7" min="7" style="1" width="16"/>
    <col collapsed="false" customWidth="true" hidden="false" outlineLevel="0" max="9" min="8" style="1" width="38"/>
  </cols>
  <sheetData>
    <row r="1" customFormat="false" ht="19.5" hidden="false" customHeight="true" outlineLevel="0" collapsed="false">
      <c r="A1" s="2" t="s">
        <v>66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6" t="s">
        <v>67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19" t="s">
        <v>68</v>
      </c>
      <c r="B5" s="19" t="s">
        <v>69</v>
      </c>
      <c r="C5" s="19" t="s">
        <v>35</v>
      </c>
      <c r="D5" s="19" t="s">
        <v>34</v>
      </c>
      <c r="E5" s="19" t="s">
        <v>70</v>
      </c>
      <c r="F5" s="19" t="s">
        <v>71</v>
      </c>
      <c r="G5" s="20" t="s">
        <v>72</v>
      </c>
      <c r="H5" s="20" t="s">
        <v>73</v>
      </c>
      <c r="I5" s="20" t="s">
        <v>74</v>
      </c>
    </row>
    <row r="6" customFormat="false" ht="15" hidden="false" customHeight="true" outlineLevel="0" collapsed="false">
      <c r="A6" s="9" t="n">
        <v>1</v>
      </c>
      <c r="B6" s="9" t="s">
        <v>75</v>
      </c>
      <c r="C6" s="9"/>
      <c r="D6" s="10" t="s">
        <v>76</v>
      </c>
      <c r="E6" s="10"/>
      <c r="F6" s="10"/>
      <c r="G6" s="21"/>
      <c r="H6" s="21"/>
      <c r="I6" s="21"/>
    </row>
    <row r="7" customFormat="false" ht="15" hidden="false" customHeight="true" outlineLevel="0" collapsed="false">
      <c r="A7" s="9" t="n">
        <v>2</v>
      </c>
      <c r="B7" s="9" t="s">
        <v>77</v>
      </c>
      <c r="C7" s="9"/>
      <c r="D7" s="10" t="s">
        <v>76</v>
      </c>
      <c r="E7" s="10"/>
      <c r="F7" s="10"/>
      <c r="G7" s="21"/>
      <c r="H7" s="21"/>
      <c r="I7" s="21"/>
    </row>
    <row r="8" customFormat="false" ht="15" hidden="false" customHeight="true" outlineLevel="0" collapsed="false">
      <c r="A8" s="9" t="n">
        <v>3</v>
      </c>
      <c r="B8" s="9" t="s">
        <v>78</v>
      </c>
      <c r="C8" s="9"/>
      <c r="D8" s="10" t="s">
        <v>76</v>
      </c>
      <c r="E8" s="10"/>
      <c r="F8" s="10"/>
      <c r="G8" s="21"/>
      <c r="H8" s="21"/>
      <c r="I8" s="21"/>
    </row>
    <row r="9" customFormat="false" ht="15" hidden="false" customHeight="true" outlineLevel="0" collapsed="false">
      <c r="A9" s="9" t="n">
        <v>4</v>
      </c>
      <c r="B9" s="9" t="s">
        <v>79</v>
      </c>
      <c r="C9" s="9"/>
      <c r="D9" s="10" t="s">
        <v>76</v>
      </c>
      <c r="E9" s="10"/>
      <c r="F9" s="10"/>
      <c r="G9" s="21"/>
      <c r="H9" s="21"/>
      <c r="I9" s="21"/>
    </row>
    <row r="10" customFormat="false" ht="15" hidden="false" customHeight="true" outlineLevel="0" collapsed="false">
      <c r="A10" s="9" t="n">
        <v>5</v>
      </c>
      <c r="B10" s="9" t="s">
        <v>80</v>
      </c>
      <c r="C10" s="9"/>
      <c r="D10" s="10" t="s">
        <v>76</v>
      </c>
      <c r="E10" s="10"/>
      <c r="F10" s="10"/>
      <c r="G10" s="21"/>
      <c r="H10" s="21"/>
      <c r="I10" s="21"/>
    </row>
    <row r="11" customFormat="false" ht="15" hidden="false" customHeight="true" outlineLevel="0" collapsed="false">
      <c r="A11" s="9" t="n">
        <v>6</v>
      </c>
      <c r="B11" s="9" t="s">
        <v>81</v>
      </c>
      <c r="C11" s="9"/>
      <c r="D11" s="10" t="s">
        <v>76</v>
      </c>
      <c r="E11" s="10"/>
      <c r="F11" s="10"/>
      <c r="G11" s="21"/>
      <c r="H11" s="21"/>
      <c r="I11" s="21"/>
    </row>
    <row r="12" customFormat="false" ht="15" hidden="false" customHeight="true" outlineLevel="0" collapsed="false">
      <c r="A12" s="9" t="n">
        <v>7</v>
      </c>
      <c r="B12" s="9" t="s">
        <v>82</v>
      </c>
      <c r="C12" s="9"/>
      <c r="D12" s="10" t="s">
        <v>76</v>
      </c>
      <c r="E12" s="10"/>
      <c r="F12" s="10"/>
      <c r="G12" s="21"/>
      <c r="H12" s="21"/>
      <c r="I12" s="21"/>
    </row>
    <row r="13" customFormat="false" ht="15" hidden="false" customHeight="true" outlineLevel="0" collapsed="false">
      <c r="A13" s="9" t="n">
        <v>8</v>
      </c>
      <c r="B13" s="9" t="s">
        <v>83</v>
      </c>
      <c r="C13" s="9"/>
      <c r="D13" s="10" t="s">
        <v>76</v>
      </c>
      <c r="E13" s="10"/>
      <c r="F13" s="10"/>
      <c r="G13" s="21"/>
      <c r="H13" s="21"/>
      <c r="I13" s="21"/>
    </row>
    <row r="14" customFormat="false" ht="15" hidden="false" customHeight="true" outlineLevel="0" collapsed="false">
      <c r="A14" s="9" t="n">
        <v>9</v>
      </c>
      <c r="B14" s="9" t="s">
        <v>84</v>
      </c>
      <c r="C14" s="9"/>
      <c r="D14" s="10" t="s">
        <v>76</v>
      </c>
      <c r="E14" s="10"/>
      <c r="F14" s="10"/>
      <c r="G14" s="21"/>
      <c r="H14" s="21"/>
      <c r="I14" s="21"/>
    </row>
    <row r="15" customFormat="false" ht="15" hidden="false" customHeight="true" outlineLevel="0" collapsed="false">
      <c r="A15" s="9" t="n">
        <v>10</v>
      </c>
      <c r="B15" s="9" t="s">
        <v>85</v>
      </c>
      <c r="C15" s="9"/>
      <c r="D15" s="10" t="s">
        <v>76</v>
      </c>
      <c r="E15" s="10"/>
      <c r="F15" s="10"/>
      <c r="G15" s="21"/>
      <c r="H15" s="21"/>
      <c r="I15" s="21"/>
    </row>
    <row r="16" customFormat="false" ht="15" hidden="false" customHeight="true" outlineLevel="0" collapsed="false">
      <c r="A16" s="9" t="n">
        <v>11</v>
      </c>
      <c r="B16" s="9" t="s">
        <v>86</v>
      </c>
      <c r="C16" s="9"/>
      <c r="D16" s="10" t="s">
        <v>76</v>
      </c>
      <c r="E16" s="10"/>
      <c r="F16" s="10"/>
      <c r="G16" s="21"/>
      <c r="H16" s="21"/>
      <c r="I16" s="21"/>
    </row>
    <row r="17" customFormat="false" ht="27.75" hidden="false" customHeight="true" outlineLevel="0" collapsed="false">
      <c r="A17" s="9" t="n">
        <v>12</v>
      </c>
      <c r="B17" s="9" t="s">
        <v>87</v>
      </c>
      <c r="C17" s="9"/>
      <c r="D17" s="10" t="s">
        <v>76</v>
      </c>
      <c r="E17" s="10"/>
      <c r="F17" s="10"/>
      <c r="G17" s="21"/>
      <c r="H17" s="21"/>
      <c r="I17" s="21"/>
    </row>
    <row r="18" customFormat="false" ht="15" hidden="false" customHeight="true" outlineLevel="0" collapsed="false">
      <c r="A18" s="9" t="n">
        <v>13</v>
      </c>
      <c r="B18" s="9" t="s">
        <v>88</v>
      </c>
      <c r="C18" s="9"/>
      <c r="D18" s="10" t="s">
        <v>76</v>
      </c>
      <c r="E18" s="10"/>
      <c r="F18" s="10"/>
      <c r="G18" s="21"/>
      <c r="H18" s="21"/>
      <c r="I18" s="21"/>
    </row>
    <row r="19" customFormat="false" ht="27.75" hidden="false" customHeight="true" outlineLevel="0" collapsed="false">
      <c r="A19" s="9" t="n">
        <v>14</v>
      </c>
      <c r="B19" s="9" t="s">
        <v>89</v>
      </c>
      <c r="C19" s="9"/>
      <c r="D19" s="10" t="s">
        <v>76</v>
      </c>
      <c r="E19" s="10"/>
      <c r="F19" s="10"/>
      <c r="G19" s="21"/>
      <c r="H19" s="21"/>
      <c r="I19" s="21"/>
    </row>
    <row r="20" customFormat="false" ht="27.75" hidden="false" customHeight="true" outlineLevel="0" collapsed="false">
      <c r="A20" s="9" t="n">
        <v>15</v>
      </c>
      <c r="B20" s="9" t="s">
        <v>90</v>
      </c>
      <c r="C20" s="9"/>
      <c r="D20" s="10" t="s">
        <v>76</v>
      </c>
      <c r="E20" s="10"/>
      <c r="F20" s="10"/>
      <c r="G20" s="21"/>
      <c r="H20" s="21"/>
      <c r="I20" s="21"/>
    </row>
    <row r="21" customFormat="false" ht="15" hidden="false" customHeight="true" outlineLevel="0" collapsed="false">
      <c r="A21" s="9" t="n">
        <v>16</v>
      </c>
      <c r="B21" s="9" t="s">
        <v>91</v>
      </c>
      <c r="C21" s="9"/>
      <c r="D21" s="10" t="s">
        <v>76</v>
      </c>
      <c r="E21" s="10"/>
      <c r="F21" s="10"/>
      <c r="G21" s="21"/>
      <c r="H21" s="21"/>
      <c r="I21" s="21"/>
    </row>
    <row r="22" customFormat="false" ht="15" hidden="false" customHeight="true" outlineLevel="0" collapsed="false">
      <c r="A22" s="9" t="n">
        <v>17</v>
      </c>
      <c r="B22" s="9" t="s">
        <v>92</v>
      </c>
      <c r="C22" s="9"/>
      <c r="D22" s="10" t="s">
        <v>76</v>
      </c>
      <c r="E22" s="10"/>
      <c r="F22" s="10"/>
      <c r="G22" s="21"/>
      <c r="H22" s="21"/>
      <c r="I22" s="21"/>
    </row>
    <row r="23" customFormat="false" ht="15" hidden="false" customHeight="true" outlineLevel="0" collapsed="false">
      <c r="A23" s="9" t="n">
        <v>18</v>
      </c>
      <c r="B23" s="9" t="s">
        <v>93</v>
      </c>
      <c r="C23" s="9"/>
      <c r="D23" s="10" t="s">
        <v>76</v>
      </c>
      <c r="E23" s="10"/>
      <c r="F23" s="10"/>
      <c r="G23" s="21"/>
      <c r="H23" s="21"/>
      <c r="I23" s="21"/>
    </row>
    <row r="24" customFormat="false" ht="27.75" hidden="false" customHeight="true" outlineLevel="0" collapsed="false">
      <c r="A24" s="9" t="n">
        <v>19</v>
      </c>
      <c r="B24" s="9" t="s">
        <v>94</v>
      </c>
      <c r="C24" s="9"/>
      <c r="D24" s="10" t="s">
        <v>76</v>
      </c>
      <c r="E24" s="10"/>
      <c r="F24" s="10"/>
      <c r="G24" s="21"/>
      <c r="H24" s="21"/>
      <c r="I24" s="21"/>
    </row>
    <row r="25" customFormat="false" ht="15" hidden="false" customHeight="true" outlineLevel="0" collapsed="false">
      <c r="A25" s="9" t="n">
        <v>20</v>
      </c>
      <c r="B25" s="9" t="s">
        <v>95</v>
      </c>
      <c r="C25" s="9"/>
      <c r="D25" s="10" t="s">
        <v>76</v>
      </c>
      <c r="E25" s="10"/>
      <c r="F25" s="10"/>
      <c r="G25" s="21"/>
      <c r="H25" s="21"/>
      <c r="I25" s="21"/>
    </row>
    <row r="26" customFormat="false" ht="15" hidden="false" customHeight="true" outlineLevel="0" collapsed="false">
      <c r="A26" s="9" t="n">
        <v>21</v>
      </c>
      <c r="B26" s="9" t="s">
        <v>96</v>
      </c>
      <c r="C26" s="9"/>
      <c r="D26" s="10" t="s">
        <v>76</v>
      </c>
      <c r="E26" s="10"/>
      <c r="F26" s="10"/>
      <c r="G26" s="21"/>
      <c r="H26" s="21"/>
      <c r="I26" s="21"/>
    </row>
    <row r="27" customFormat="false" ht="15" hidden="false" customHeight="true" outlineLevel="0" collapsed="false">
      <c r="A27" s="9" t="n">
        <v>22</v>
      </c>
      <c r="B27" s="9" t="s">
        <v>97</v>
      </c>
      <c r="C27" s="9"/>
      <c r="D27" s="10" t="s">
        <v>76</v>
      </c>
      <c r="E27" s="10"/>
      <c r="F27" s="10"/>
      <c r="G27" s="21"/>
      <c r="H27" s="21"/>
      <c r="I27" s="21"/>
    </row>
    <row r="28" customFormat="false" ht="15" hidden="false" customHeight="true" outlineLevel="0" collapsed="false">
      <c r="A28" s="9" t="n">
        <v>23</v>
      </c>
      <c r="B28" s="9" t="s">
        <v>98</v>
      </c>
      <c r="C28" s="9"/>
      <c r="D28" s="10" t="s">
        <v>76</v>
      </c>
      <c r="E28" s="10"/>
      <c r="F28" s="10"/>
      <c r="G28" s="21"/>
      <c r="H28" s="21"/>
      <c r="I28" s="21"/>
    </row>
    <row r="29" customFormat="false" ht="15" hidden="false" customHeight="true" outlineLevel="0" collapsed="false">
      <c r="A29" s="9" t="n">
        <v>24</v>
      </c>
      <c r="B29" s="9" t="s">
        <v>99</v>
      </c>
      <c r="C29" s="9"/>
      <c r="D29" s="10" t="s">
        <v>76</v>
      </c>
      <c r="E29" s="10"/>
      <c r="F29" s="10"/>
      <c r="G29" s="21"/>
      <c r="H29" s="21"/>
      <c r="I29" s="21"/>
    </row>
    <row r="30" customFormat="false" ht="15" hidden="false" customHeight="true" outlineLevel="0" collapsed="false">
      <c r="A30" s="9" t="n">
        <v>25</v>
      </c>
      <c r="B30" s="9" t="s">
        <v>100</v>
      </c>
      <c r="C30" s="9"/>
      <c r="D30" s="10" t="s">
        <v>76</v>
      </c>
      <c r="E30" s="10"/>
      <c r="F30" s="10"/>
      <c r="G30" s="21"/>
      <c r="H30" s="21"/>
      <c r="I30" s="21"/>
    </row>
    <row r="31" customFormat="false" ht="15" hidden="false" customHeight="true" outlineLevel="0" collapsed="false">
      <c r="A31" s="9" t="n">
        <v>26</v>
      </c>
      <c r="B31" s="9" t="s">
        <v>101</v>
      </c>
      <c r="C31" s="9"/>
      <c r="D31" s="10" t="s">
        <v>76</v>
      </c>
      <c r="E31" s="10"/>
      <c r="F31" s="10"/>
      <c r="G31" s="21"/>
      <c r="H31" s="21"/>
      <c r="I31" s="21"/>
    </row>
    <row r="32" customFormat="false" ht="15" hidden="false" customHeight="true" outlineLevel="0" collapsed="false">
      <c r="A32" s="9" t="n">
        <v>27</v>
      </c>
      <c r="B32" s="9" t="s">
        <v>102</v>
      </c>
      <c r="C32" s="9"/>
      <c r="D32" s="10" t="s">
        <v>76</v>
      </c>
      <c r="E32" s="10"/>
      <c r="F32" s="10"/>
      <c r="G32" s="21"/>
      <c r="H32" s="21"/>
      <c r="I32" s="21"/>
    </row>
    <row r="33" customFormat="false" ht="15" hidden="false" customHeight="true" outlineLevel="0" collapsed="false">
      <c r="A33" s="9" t="n">
        <v>28</v>
      </c>
      <c r="B33" s="9" t="s">
        <v>103</v>
      </c>
      <c r="C33" s="9"/>
      <c r="D33" s="10" t="s">
        <v>76</v>
      </c>
      <c r="E33" s="10"/>
      <c r="F33" s="10"/>
      <c r="G33" s="21"/>
      <c r="H33" s="21"/>
      <c r="I33" s="21"/>
    </row>
    <row r="34" customFormat="false" ht="15" hidden="false" customHeight="true" outlineLevel="0" collapsed="false">
      <c r="A34" s="9" t="n">
        <v>29</v>
      </c>
      <c r="B34" s="9" t="s">
        <v>104</v>
      </c>
      <c r="C34" s="9"/>
      <c r="D34" s="10" t="s">
        <v>76</v>
      </c>
      <c r="E34" s="10"/>
      <c r="F34" s="10"/>
      <c r="G34" s="21"/>
      <c r="H34" s="21"/>
      <c r="I34" s="21"/>
    </row>
    <row r="35" customFormat="false" ht="15" hidden="false" customHeight="true" outlineLevel="0" collapsed="false">
      <c r="A35" s="9" t="n">
        <v>30</v>
      </c>
      <c r="B35" s="9" t="s">
        <v>105</v>
      </c>
      <c r="C35" s="9"/>
      <c r="D35" s="10" t="s">
        <v>76</v>
      </c>
      <c r="E35" s="10"/>
      <c r="F35" s="10"/>
      <c r="G35" s="21"/>
      <c r="H35" s="21"/>
      <c r="I35" s="21"/>
    </row>
    <row r="36" customFormat="false" ht="27.75" hidden="false" customHeight="true" outlineLevel="0" collapsed="false">
      <c r="A36" s="9" t="n">
        <v>31</v>
      </c>
      <c r="B36" s="9" t="s">
        <v>106</v>
      </c>
      <c r="C36" s="9"/>
      <c r="D36" s="10" t="s">
        <v>76</v>
      </c>
      <c r="E36" s="10"/>
      <c r="F36" s="10"/>
      <c r="G36" s="21"/>
      <c r="H36" s="21"/>
      <c r="I36" s="21"/>
    </row>
    <row r="37" customFormat="false" ht="15" hidden="false" customHeight="true" outlineLevel="0" collapsed="false">
      <c r="A37" s="9" t="n">
        <v>32</v>
      </c>
      <c r="B37" s="9" t="s">
        <v>107</v>
      </c>
      <c r="C37" s="9"/>
      <c r="D37" s="10" t="s">
        <v>76</v>
      </c>
      <c r="E37" s="10"/>
      <c r="F37" s="10"/>
      <c r="G37" s="21"/>
      <c r="H37" s="21"/>
      <c r="I37" s="21"/>
    </row>
    <row r="38" customFormat="false" ht="15" hidden="false" customHeight="true" outlineLevel="0" collapsed="false">
      <c r="A38" s="9" t="n">
        <v>33</v>
      </c>
      <c r="B38" s="9" t="s">
        <v>108</v>
      </c>
      <c r="C38" s="9"/>
      <c r="D38" s="10" t="s">
        <v>76</v>
      </c>
      <c r="E38" s="10"/>
      <c r="F38" s="10"/>
      <c r="G38" s="21"/>
      <c r="H38" s="21"/>
      <c r="I38" s="21"/>
    </row>
    <row r="39" customFormat="false" ht="15" hidden="false" customHeight="true" outlineLevel="0" collapsed="false">
      <c r="A39" s="9" t="n">
        <v>34</v>
      </c>
      <c r="B39" s="9" t="s">
        <v>109</v>
      </c>
      <c r="C39" s="9"/>
      <c r="D39" s="10" t="s">
        <v>76</v>
      </c>
      <c r="E39" s="10"/>
      <c r="F39" s="10"/>
      <c r="G39" s="21"/>
      <c r="H39" s="21"/>
      <c r="I39" s="21"/>
    </row>
    <row r="40" customFormat="false" ht="15" hidden="false" customHeight="true" outlineLevel="0" collapsed="false">
      <c r="A40" s="9" t="n">
        <v>35</v>
      </c>
      <c r="B40" s="9" t="s">
        <v>110</v>
      </c>
      <c r="C40" s="9"/>
      <c r="D40" s="10" t="s">
        <v>76</v>
      </c>
      <c r="E40" s="10"/>
      <c r="F40" s="10"/>
      <c r="G40" s="21"/>
      <c r="H40" s="21"/>
      <c r="I40" s="21"/>
    </row>
    <row r="41" customFormat="false" ht="15" hidden="false" customHeight="true" outlineLevel="0" collapsed="false">
      <c r="A41" s="9" t="n">
        <v>36</v>
      </c>
      <c r="B41" s="9" t="s">
        <v>111</v>
      </c>
      <c r="C41" s="9"/>
      <c r="D41" s="10" t="s">
        <v>76</v>
      </c>
      <c r="E41" s="10"/>
      <c r="F41" s="10"/>
      <c r="G41" s="21"/>
      <c r="H41" s="21"/>
      <c r="I41" s="21"/>
    </row>
    <row r="42" customFormat="false" ht="15" hidden="false" customHeight="true" outlineLevel="0" collapsed="false">
      <c r="A42" s="9" t="n">
        <v>37</v>
      </c>
      <c r="B42" s="9" t="s">
        <v>112</v>
      </c>
      <c r="C42" s="9"/>
      <c r="D42" s="10" t="s">
        <v>76</v>
      </c>
      <c r="E42" s="10"/>
      <c r="F42" s="10"/>
      <c r="G42" s="21"/>
      <c r="H42" s="21"/>
      <c r="I42" s="21"/>
    </row>
    <row r="43" customFormat="false" ht="15" hidden="false" customHeight="true" outlineLevel="0" collapsed="false">
      <c r="A43" s="9" t="n">
        <v>38</v>
      </c>
      <c r="B43" s="9" t="s">
        <v>113</v>
      </c>
      <c r="C43" s="9"/>
      <c r="D43" s="10" t="s">
        <v>76</v>
      </c>
      <c r="E43" s="10"/>
      <c r="F43" s="10"/>
      <c r="G43" s="21"/>
      <c r="H43" s="21"/>
      <c r="I43" s="21"/>
    </row>
    <row r="44" customFormat="false" ht="15" hidden="false" customHeight="true" outlineLevel="0" collapsed="false">
      <c r="A44" s="9" t="n">
        <v>39</v>
      </c>
      <c r="B44" s="9" t="s">
        <v>114</v>
      </c>
      <c r="C44" s="9"/>
      <c r="D44" s="10" t="s">
        <v>76</v>
      </c>
      <c r="E44" s="10"/>
      <c r="F44" s="10"/>
      <c r="G44" s="21"/>
      <c r="H44" s="21"/>
      <c r="I44" s="21"/>
    </row>
    <row r="45" customFormat="false" ht="15" hidden="false" customHeight="true" outlineLevel="0" collapsed="false">
      <c r="A45" s="9" t="n">
        <v>40</v>
      </c>
      <c r="B45" s="9" t="s">
        <v>115</v>
      </c>
      <c r="C45" s="9"/>
      <c r="D45" s="10" t="s">
        <v>76</v>
      </c>
      <c r="E45" s="10"/>
      <c r="F45" s="10"/>
      <c r="G45" s="21"/>
      <c r="H45" s="21"/>
      <c r="I45" s="21"/>
    </row>
    <row r="46" customFormat="false" ht="15" hidden="false" customHeight="true" outlineLevel="0" collapsed="false">
      <c r="A46" s="9" t="n">
        <v>41</v>
      </c>
      <c r="B46" s="9" t="s">
        <v>116</v>
      </c>
      <c r="C46" s="9"/>
      <c r="D46" s="10" t="s">
        <v>76</v>
      </c>
      <c r="E46" s="10"/>
      <c r="F46" s="10"/>
      <c r="G46" s="21"/>
      <c r="H46" s="21"/>
      <c r="I46" s="21"/>
    </row>
    <row r="47" customFormat="false" ht="15" hidden="false" customHeight="true" outlineLevel="0" collapsed="false">
      <c r="A47" s="9" t="n">
        <v>42</v>
      </c>
      <c r="B47" s="9" t="s">
        <v>117</v>
      </c>
      <c r="C47" s="9"/>
      <c r="D47" s="10" t="s">
        <v>76</v>
      </c>
      <c r="E47" s="10"/>
      <c r="F47" s="10"/>
      <c r="G47" s="21"/>
      <c r="H47" s="21"/>
      <c r="I47" s="21"/>
    </row>
    <row r="48" customFormat="false" ht="15" hidden="false" customHeight="true" outlineLevel="0" collapsed="false">
      <c r="A48" s="9" t="n">
        <v>43</v>
      </c>
      <c r="B48" s="9" t="s">
        <v>118</v>
      </c>
      <c r="C48" s="9"/>
      <c r="D48" s="10" t="s">
        <v>76</v>
      </c>
      <c r="E48" s="10"/>
      <c r="F48" s="10"/>
      <c r="G48" s="21"/>
      <c r="H48" s="21"/>
      <c r="I48" s="21"/>
    </row>
    <row r="49" customFormat="false" ht="15" hidden="false" customHeight="true" outlineLevel="0" collapsed="false">
      <c r="A49" s="9" t="n">
        <v>44</v>
      </c>
      <c r="B49" s="9" t="s">
        <v>119</v>
      </c>
      <c r="C49" s="9"/>
      <c r="D49" s="10" t="s">
        <v>76</v>
      </c>
      <c r="E49" s="10"/>
      <c r="F49" s="10"/>
      <c r="G49" s="21"/>
      <c r="H49" s="21"/>
      <c r="I49" s="21"/>
    </row>
    <row r="50" customFormat="false" ht="15" hidden="false" customHeight="true" outlineLevel="0" collapsed="false">
      <c r="A50" s="9" t="n">
        <v>45</v>
      </c>
      <c r="B50" s="9" t="s">
        <v>120</v>
      </c>
      <c r="C50" s="9"/>
      <c r="D50" s="10" t="s">
        <v>76</v>
      </c>
      <c r="E50" s="10"/>
      <c r="F50" s="10"/>
      <c r="G50" s="21"/>
      <c r="H50" s="21"/>
      <c r="I50" s="21"/>
    </row>
    <row r="51" customFormat="false" ht="15" hidden="false" customHeight="true" outlineLevel="0" collapsed="false">
      <c r="A51" s="9" t="n">
        <v>46</v>
      </c>
      <c r="B51" s="9" t="s">
        <v>121</v>
      </c>
      <c r="C51" s="9"/>
      <c r="D51" s="10" t="s">
        <v>76</v>
      </c>
      <c r="E51" s="10"/>
      <c r="F51" s="10"/>
      <c r="G51" s="21"/>
      <c r="H51" s="21"/>
      <c r="I51" s="21"/>
    </row>
    <row r="52" customFormat="false" ht="15" hidden="false" customHeight="true" outlineLevel="0" collapsed="false">
      <c r="A52" s="9" t="n">
        <v>47</v>
      </c>
      <c r="B52" s="9" t="s">
        <v>122</v>
      </c>
      <c r="C52" s="9"/>
      <c r="D52" s="10" t="s">
        <v>76</v>
      </c>
      <c r="E52" s="10"/>
      <c r="F52" s="10"/>
      <c r="G52" s="21"/>
      <c r="H52" s="21"/>
      <c r="I52" s="21"/>
    </row>
    <row r="53" customFormat="false" ht="15" hidden="false" customHeight="true" outlineLevel="0" collapsed="false">
      <c r="A53" s="9" t="n">
        <v>48</v>
      </c>
      <c r="B53" s="9" t="s">
        <v>123</v>
      </c>
      <c r="C53" s="9"/>
      <c r="D53" s="10" t="s">
        <v>76</v>
      </c>
      <c r="E53" s="10"/>
      <c r="F53" s="10"/>
      <c r="G53" s="21"/>
      <c r="H53" s="21"/>
      <c r="I53" s="21"/>
    </row>
    <row r="54" customFormat="false" ht="15" hidden="false" customHeight="true" outlineLevel="0" collapsed="false">
      <c r="A54" s="9" t="n">
        <v>49</v>
      </c>
      <c r="B54" s="9" t="s">
        <v>124</v>
      </c>
      <c r="C54" s="9"/>
      <c r="D54" s="10" t="s">
        <v>76</v>
      </c>
      <c r="E54" s="10"/>
      <c r="F54" s="10"/>
      <c r="G54" s="21"/>
      <c r="H54" s="21"/>
      <c r="I54" s="21"/>
    </row>
    <row r="55" customFormat="false" ht="15" hidden="false" customHeight="true" outlineLevel="0" collapsed="false">
      <c r="A55" s="9" t="n">
        <v>50</v>
      </c>
      <c r="B55" s="9" t="s">
        <v>125</v>
      </c>
      <c r="C55" s="9"/>
      <c r="D55" s="10" t="s">
        <v>76</v>
      </c>
      <c r="E55" s="10"/>
      <c r="F55" s="10"/>
      <c r="G55" s="21"/>
      <c r="H55" s="21"/>
      <c r="I55" s="21"/>
    </row>
    <row r="56" customFormat="false" ht="15" hidden="false" customHeight="true" outlineLevel="0" collapsed="false">
      <c r="A56" s="9" t="n">
        <v>51</v>
      </c>
      <c r="B56" s="9" t="s">
        <v>126</v>
      </c>
      <c r="C56" s="9"/>
      <c r="D56" s="10" t="s">
        <v>76</v>
      </c>
      <c r="E56" s="10"/>
      <c r="F56" s="10"/>
      <c r="G56" s="21"/>
      <c r="H56" s="21"/>
      <c r="I56" s="21"/>
    </row>
    <row r="57" customFormat="false" ht="15" hidden="false" customHeight="true" outlineLevel="0" collapsed="false">
      <c r="A57" s="9" t="n">
        <v>52</v>
      </c>
      <c r="B57" s="9" t="s">
        <v>127</v>
      </c>
      <c r="C57" s="9"/>
      <c r="D57" s="10" t="s">
        <v>76</v>
      </c>
      <c r="E57" s="10"/>
      <c r="F57" s="10"/>
      <c r="G57" s="21"/>
      <c r="H57" s="21"/>
      <c r="I57" s="21"/>
    </row>
    <row r="58" customFormat="false" ht="15" hidden="false" customHeight="true" outlineLevel="0" collapsed="false">
      <c r="A58" s="9" t="n">
        <v>53</v>
      </c>
      <c r="B58" s="9" t="s">
        <v>128</v>
      </c>
      <c r="C58" s="9"/>
      <c r="D58" s="10" t="s">
        <v>76</v>
      </c>
      <c r="E58" s="10"/>
      <c r="F58" s="10"/>
      <c r="G58" s="21"/>
      <c r="H58" s="21"/>
      <c r="I58" s="21"/>
    </row>
    <row r="59" customFormat="false" ht="15" hidden="false" customHeight="true" outlineLevel="0" collapsed="false">
      <c r="A59" s="9" t="n">
        <v>54</v>
      </c>
      <c r="B59" s="9" t="s">
        <v>129</v>
      </c>
      <c r="C59" s="9"/>
      <c r="D59" s="10" t="s">
        <v>76</v>
      </c>
      <c r="E59" s="10"/>
      <c r="F59" s="10"/>
      <c r="G59" s="21"/>
      <c r="H59" s="21"/>
      <c r="I59" s="21"/>
    </row>
    <row r="60" customFormat="false" ht="15" hidden="false" customHeight="true" outlineLevel="0" collapsed="false">
      <c r="A60" s="9" t="n">
        <v>55</v>
      </c>
      <c r="B60" s="9" t="s">
        <v>130</v>
      </c>
      <c r="C60" s="9"/>
      <c r="D60" s="10" t="s">
        <v>76</v>
      </c>
      <c r="E60" s="10"/>
      <c r="F60" s="10"/>
      <c r="G60" s="21"/>
      <c r="H60" s="21"/>
      <c r="I60" s="21"/>
    </row>
    <row r="61" customFormat="false" ht="15" hidden="false" customHeight="true" outlineLevel="0" collapsed="false">
      <c r="A61" s="9" t="n">
        <v>56</v>
      </c>
      <c r="B61" s="9" t="s">
        <v>131</v>
      </c>
      <c r="C61" s="9"/>
      <c r="D61" s="10" t="s">
        <v>76</v>
      </c>
      <c r="E61" s="10"/>
      <c r="F61" s="10"/>
      <c r="G61" s="21"/>
      <c r="H61" s="21"/>
      <c r="I61" s="21"/>
    </row>
    <row r="62" customFormat="false" ht="15" hidden="false" customHeight="true" outlineLevel="0" collapsed="false">
      <c r="A62" s="9" t="n">
        <v>57</v>
      </c>
      <c r="B62" s="9" t="s">
        <v>132</v>
      </c>
      <c r="C62" s="9"/>
      <c r="D62" s="10" t="s">
        <v>76</v>
      </c>
      <c r="E62" s="10"/>
      <c r="F62" s="10"/>
      <c r="G62" s="21"/>
      <c r="H62" s="21"/>
      <c r="I62" s="21"/>
    </row>
    <row r="63" customFormat="false" ht="15" hidden="false" customHeight="true" outlineLevel="0" collapsed="false">
      <c r="A63" s="9" t="n">
        <v>58</v>
      </c>
      <c r="B63" s="9" t="s">
        <v>133</v>
      </c>
      <c r="C63" s="9"/>
      <c r="D63" s="10" t="s">
        <v>76</v>
      </c>
      <c r="E63" s="10"/>
      <c r="F63" s="10"/>
      <c r="G63" s="21"/>
      <c r="H63" s="21"/>
      <c r="I63" s="21"/>
    </row>
    <row r="64" customFormat="false" ht="15" hidden="false" customHeight="true" outlineLevel="0" collapsed="false">
      <c r="A64" s="9" t="n">
        <v>59</v>
      </c>
      <c r="B64" s="9" t="s">
        <v>134</v>
      </c>
      <c r="C64" s="9"/>
      <c r="D64" s="10" t="s">
        <v>76</v>
      </c>
      <c r="E64" s="10"/>
      <c r="F64" s="10"/>
      <c r="G64" s="21"/>
      <c r="H64" s="21"/>
      <c r="I64" s="21"/>
    </row>
    <row r="65" customFormat="false" ht="15" hidden="false" customHeight="true" outlineLevel="0" collapsed="false">
      <c r="A65" s="9" t="n">
        <v>60</v>
      </c>
      <c r="B65" s="9" t="s">
        <v>135</v>
      </c>
      <c r="C65" s="9"/>
      <c r="D65" s="10" t="s">
        <v>76</v>
      </c>
      <c r="E65" s="10"/>
      <c r="F65" s="10"/>
      <c r="G65" s="21"/>
      <c r="H65" s="21"/>
      <c r="I65" s="21"/>
    </row>
    <row r="66" customFormat="false" ht="15" hidden="false" customHeight="true" outlineLevel="0" collapsed="false">
      <c r="A66" s="9" t="n">
        <v>61</v>
      </c>
      <c r="B66" s="9" t="s">
        <v>136</v>
      </c>
      <c r="C66" s="9"/>
      <c r="D66" s="10" t="s">
        <v>76</v>
      </c>
      <c r="E66" s="10"/>
      <c r="F66" s="10"/>
      <c r="G66" s="21"/>
      <c r="H66" s="21"/>
      <c r="I66" s="21"/>
    </row>
    <row r="67" customFormat="false" ht="15" hidden="false" customHeight="true" outlineLevel="0" collapsed="false">
      <c r="A67" s="9" t="n">
        <v>62</v>
      </c>
      <c r="B67" s="9" t="s">
        <v>137</v>
      </c>
      <c r="C67" s="9"/>
      <c r="D67" s="10" t="s">
        <v>76</v>
      </c>
      <c r="E67" s="10"/>
      <c r="F67" s="10"/>
      <c r="G67" s="21"/>
      <c r="H67" s="21"/>
      <c r="I67" s="21"/>
    </row>
    <row r="68" customFormat="false" ht="15" hidden="false" customHeight="true" outlineLevel="0" collapsed="false">
      <c r="A68" s="9" t="n">
        <v>63</v>
      </c>
      <c r="B68" s="9" t="s">
        <v>138</v>
      </c>
      <c r="C68" s="9"/>
      <c r="D68" s="10" t="s">
        <v>76</v>
      </c>
      <c r="E68" s="10"/>
      <c r="F68" s="10"/>
      <c r="G68" s="21"/>
      <c r="H68" s="21"/>
      <c r="I68" s="21"/>
    </row>
    <row r="69" customFormat="false" ht="15" hidden="false" customHeight="true" outlineLevel="0" collapsed="false">
      <c r="A69" s="9" t="n">
        <v>64</v>
      </c>
      <c r="B69" s="9" t="s">
        <v>139</v>
      </c>
      <c r="C69" s="9"/>
      <c r="D69" s="10" t="s">
        <v>76</v>
      </c>
      <c r="E69" s="10"/>
      <c r="F69" s="10"/>
      <c r="G69" s="21"/>
      <c r="H69" s="21"/>
      <c r="I69" s="21"/>
    </row>
    <row r="70" customFormat="false" ht="15" hidden="false" customHeight="true" outlineLevel="0" collapsed="false">
      <c r="A70" s="9" t="n">
        <v>65</v>
      </c>
      <c r="B70" s="9" t="s">
        <v>40</v>
      </c>
      <c r="C70" s="9"/>
      <c r="D70" s="10" t="s">
        <v>76</v>
      </c>
      <c r="E70" s="10"/>
      <c r="F70" s="10"/>
      <c r="G70" s="21"/>
      <c r="H70" s="21"/>
      <c r="I70" s="21"/>
    </row>
    <row r="71" customFormat="false" ht="27.75" hidden="false" customHeight="true" outlineLevel="0" collapsed="false">
      <c r="A71" s="9" t="n">
        <v>66</v>
      </c>
      <c r="B71" s="9" t="s">
        <v>140</v>
      </c>
      <c r="C71" s="9"/>
      <c r="D71" s="10" t="s">
        <v>76</v>
      </c>
      <c r="E71" s="10"/>
      <c r="F71" s="10"/>
      <c r="G71" s="21"/>
      <c r="H71" s="21"/>
      <c r="I71" s="21"/>
    </row>
    <row r="72" customFormat="false" ht="15" hidden="false" customHeight="true" outlineLevel="0" collapsed="false">
      <c r="A72" s="9" t="n">
        <v>67</v>
      </c>
      <c r="B72" s="9" t="s">
        <v>141</v>
      </c>
      <c r="C72" s="9"/>
      <c r="D72" s="10" t="s">
        <v>76</v>
      </c>
      <c r="E72" s="10"/>
      <c r="F72" s="10"/>
      <c r="G72" s="21"/>
      <c r="H72" s="21"/>
      <c r="I72" s="21"/>
    </row>
    <row r="73" customFormat="false" ht="15" hidden="false" customHeight="true" outlineLevel="0" collapsed="false">
      <c r="A73" s="9" t="n">
        <v>68</v>
      </c>
      <c r="B73" s="9" t="s">
        <v>142</v>
      </c>
      <c r="C73" s="9"/>
      <c r="D73" s="10" t="s">
        <v>76</v>
      </c>
      <c r="E73" s="10"/>
      <c r="F73" s="10"/>
      <c r="G73" s="21"/>
      <c r="H73" s="21"/>
      <c r="I73" s="21"/>
    </row>
    <row r="74" customFormat="false" ht="15" hidden="false" customHeight="true" outlineLevel="0" collapsed="false">
      <c r="A74" s="9" t="n">
        <v>69</v>
      </c>
      <c r="B74" s="9" t="s">
        <v>143</v>
      </c>
      <c r="C74" s="9"/>
      <c r="D74" s="10" t="s">
        <v>76</v>
      </c>
      <c r="E74" s="10"/>
      <c r="F74" s="10"/>
      <c r="G74" s="21"/>
      <c r="H74" s="21"/>
      <c r="I74" s="21"/>
    </row>
    <row r="75" customFormat="false" ht="15" hidden="false" customHeight="true" outlineLevel="0" collapsed="false">
      <c r="A75" s="9" t="n">
        <v>70</v>
      </c>
      <c r="B75" s="9" t="s">
        <v>41</v>
      </c>
      <c r="C75" s="9"/>
      <c r="D75" s="10" t="s">
        <v>76</v>
      </c>
      <c r="E75" s="10"/>
      <c r="F75" s="10"/>
      <c r="G75" s="21"/>
      <c r="H75" s="21"/>
      <c r="I75" s="21"/>
    </row>
    <row r="76" customFormat="false" ht="15" hidden="false" customHeight="true" outlineLevel="0" collapsed="false">
      <c r="A76" s="9" t="n">
        <v>71</v>
      </c>
      <c r="B76" s="9" t="s">
        <v>1</v>
      </c>
      <c r="C76" s="9"/>
      <c r="D76" s="10" t="s">
        <v>76</v>
      </c>
      <c r="E76" s="10"/>
      <c r="F76" s="10"/>
      <c r="G76" s="21"/>
      <c r="H76" s="21"/>
      <c r="I76" s="21"/>
    </row>
    <row r="78" customFormat="false" ht="15" hidden="false" customHeight="true" outlineLevel="0" collapsed="false">
      <c r="B78" s="15" t="n">
        <f aca="false">IF(COUNTIF(D6:D76,"REPROVAR")&gt;0,0,IF(COUNTIF(D6:D76,"ATENÇÃO")&gt;0,60,100))</f>
        <v>100</v>
      </c>
    </row>
    <row r="80" customFormat="false" ht="15" hidden="false" customHeight="true" outlineLevel="0" collapsed="false">
      <c r="A80" s="6" t="s">
        <v>144</v>
      </c>
      <c r="B80" s="6"/>
      <c r="C80" s="6"/>
      <c r="D80" s="6"/>
      <c r="E80" s="6"/>
      <c r="F80" s="6"/>
      <c r="G80" s="6"/>
      <c r="H80" s="6"/>
      <c r="I80" s="6"/>
    </row>
    <row r="81" customFormat="false" ht="27.75" hidden="false" customHeight="true" outlineLevel="0" collapsed="false">
      <c r="A81" s="15" t="s">
        <v>145</v>
      </c>
      <c r="B81" s="15" t="s">
        <v>146</v>
      </c>
      <c r="C81" s="15" t="s">
        <v>147</v>
      </c>
      <c r="D81" s="22" t="s">
        <v>76</v>
      </c>
      <c r="E81" s="22"/>
      <c r="F81" s="22"/>
      <c r="G81" s="22"/>
      <c r="H81" s="22"/>
      <c r="I81" s="22"/>
    </row>
    <row r="82" customFormat="false" ht="15" hidden="false" customHeight="true" outlineLevel="0" collapsed="false">
      <c r="A82" s="15" t="s">
        <v>148</v>
      </c>
      <c r="B82" s="15" t="s">
        <v>146</v>
      </c>
      <c r="C82" s="15" t="s">
        <v>149</v>
      </c>
      <c r="D82" s="22" t="s">
        <v>76</v>
      </c>
      <c r="E82" s="22" t="s">
        <v>150</v>
      </c>
      <c r="F82" s="22"/>
      <c r="G82" s="22"/>
      <c r="H82" s="22"/>
      <c r="I82" s="22"/>
    </row>
    <row r="83" customFormat="false" ht="27.75" hidden="false" customHeight="true" outlineLevel="0" collapsed="false">
      <c r="A83" s="15" t="s">
        <v>151</v>
      </c>
      <c r="B83" s="15" t="s">
        <v>146</v>
      </c>
      <c r="C83" s="15" t="s">
        <v>152</v>
      </c>
      <c r="D83" s="22" t="s">
        <v>76</v>
      </c>
      <c r="E83" s="22"/>
      <c r="F83" s="22"/>
      <c r="G83" s="22"/>
      <c r="H83" s="22"/>
      <c r="I83" s="22"/>
    </row>
    <row r="84" customFormat="false" ht="27.75" hidden="false" customHeight="true" outlineLevel="0" collapsed="false">
      <c r="A84" s="15" t="s">
        <v>153</v>
      </c>
      <c r="B84" s="15" t="s">
        <v>146</v>
      </c>
      <c r="C84" s="15" t="s">
        <v>154</v>
      </c>
      <c r="D84" s="22" t="s">
        <v>76</v>
      </c>
      <c r="E84" s="22"/>
      <c r="F84" s="22"/>
      <c r="G84" s="22"/>
      <c r="H84" s="22"/>
      <c r="I84" s="22"/>
    </row>
    <row r="85" customFormat="false" ht="27.75" hidden="false" customHeight="true" outlineLevel="0" collapsed="false">
      <c r="A85" s="15" t="s">
        <v>155</v>
      </c>
      <c r="B85" s="15" t="s">
        <v>146</v>
      </c>
      <c r="C85" s="15" t="s">
        <v>156</v>
      </c>
      <c r="D85" s="22" t="s">
        <v>76</v>
      </c>
      <c r="E85" s="22"/>
      <c r="F85" s="22"/>
      <c r="G85" s="22"/>
      <c r="H85" s="22"/>
      <c r="I85" s="22"/>
    </row>
    <row r="86" customFormat="false" ht="27.75" hidden="false" customHeight="true" outlineLevel="0" collapsed="false">
      <c r="A86" s="15" t="s">
        <v>157</v>
      </c>
      <c r="B86" s="15" t="s">
        <v>146</v>
      </c>
      <c r="C86" s="15" t="s">
        <v>158</v>
      </c>
      <c r="D86" s="22" t="s">
        <v>76</v>
      </c>
      <c r="E86" s="22"/>
      <c r="F86" s="22"/>
      <c r="G86" s="22"/>
      <c r="H86" s="22"/>
      <c r="I86" s="22"/>
    </row>
    <row r="87" customFormat="false" ht="27.75" hidden="false" customHeight="true" outlineLevel="0" collapsed="false">
      <c r="A87" s="15" t="s">
        <v>159</v>
      </c>
      <c r="B87" s="15" t="s">
        <v>146</v>
      </c>
      <c r="C87" s="15" t="s">
        <v>160</v>
      </c>
      <c r="D87" s="22" t="s">
        <v>76</v>
      </c>
      <c r="E87" s="22"/>
      <c r="F87" s="22"/>
      <c r="G87" s="22"/>
      <c r="H87" s="22"/>
      <c r="I87" s="22"/>
    </row>
    <row r="88" customFormat="false" ht="15" hidden="false" customHeight="true" outlineLevel="0" collapsed="false">
      <c r="A88" s="15" t="s">
        <v>161</v>
      </c>
      <c r="B88" s="15" t="s">
        <v>146</v>
      </c>
      <c r="C88" s="15" t="s">
        <v>162</v>
      </c>
      <c r="D88" s="22" t="s">
        <v>76</v>
      </c>
      <c r="E88" s="22"/>
      <c r="F88" s="22" t="s">
        <v>163</v>
      </c>
      <c r="G88" s="22" t="s">
        <v>164</v>
      </c>
      <c r="H88" s="22"/>
      <c r="I88" s="22"/>
    </row>
    <row r="89" customFormat="false" ht="27.75" hidden="false" customHeight="true" outlineLevel="0" collapsed="false">
      <c r="A89" s="15" t="s">
        <v>165</v>
      </c>
      <c r="B89" s="15" t="s">
        <v>146</v>
      </c>
      <c r="C89" s="15" t="s">
        <v>166</v>
      </c>
      <c r="D89" s="22" t="s">
        <v>76</v>
      </c>
      <c r="E89" s="22"/>
      <c r="F89" s="22"/>
      <c r="G89" s="22"/>
      <c r="H89" s="22"/>
      <c r="I89" s="22"/>
    </row>
    <row r="91" customFormat="false" ht="15" hidden="false" customHeight="true" outlineLevel="0" collapsed="false">
      <c r="A91" s="18" t="s">
        <v>167</v>
      </c>
      <c r="B91" s="18"/>
      <c r="C91" s="18"/>
      <c r="D91" s="18"/>
      <c r="E91" s="18"/>
      <c r="F91" s="18"/>
      <c r="G91" s="18"/>
      <c r="H91" s="18"/>
      <c r="I91" s="18"/>
    </row>
    <row r="92" customFormat="false" ht="15" hidden="false" customHeight="true" outlineLevel="0" collapsed="false">
      <c r="A92" s="23" t="s">
        <v>168</v>
      </c>
      <c r="B92" s="23"/>
      <c r="C92" s="23"/>
      <c r="D92" s="23"/>
      <c r="E92" s="23"/>
      <c r="F92" s="23"/>
      <c r="G92" s="23"/>
      <c r="H92" s="23"/>
      <c r="I92" s="23"/>
    </row>
  </sheetData>
  <mergeCells count="6">
    <mergeCell ref="A1:F1"/>
    <mergeCell ref="A2:F2"/>
    <mergeCell ref="A4:F4"/>
    <mergeCell ref="A80:I80"/>
    <mergeCell ref="A91:I91"/>
    <mergeCell ref="A92:I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169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24" t="s">
        <v>25</v>
      </c>
      <c r="B4" s="24" t="s">
        <v>170</v>
      </c>
      <c r="C4" s="24" t="s">
        <v>171</v>
      </c>
      <c r="D4" s="24" t="s">
        <v>172</v>
      </c>
      <c r="E4" s="24" t="s">
        <v>173</v>
      </c>
      <c r="F4" s="24" t="s">
        <v>174</v>
      </c>
      <c r="G4" s="24" t="s">
        <v>175</v>
      </c>
      <c r="H4" s="24" t="s">
        <v>176</v>
      </c>
      <c r="I4" s="24" t="s">
        <v>177</v>
      </c>
      <c r="J4" s="24" t="s">
        <v>178</v>
      </c>
      <c r="K4" s="24" t="s">
        <v>179</v>
      </c>
      <c r="L4" s="24" t="s">
        <v>74</v>
      </c>
    </row>
    <row r="5" customFormat="false" ht="30" hidden="false" customHeight="true" outlineLevel="0" collapsed="false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customFormat="false" ht="30" hidden="false" customHeight="tru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customFormat="false" ht="30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customFormat="false" ht="30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customFormat="false" ht="30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customFormat="false" ht="30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customFormat="false" ht="30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customFormat="false" ht="30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customFormat="false" ht="30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false" ht="30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customFormat="false" ht="30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customFormat="false" ht="30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customFormat="false" ht="30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customFormat="false" ht="30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customFormat="false" ht="30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customFormat="false" ht="30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customFormat="false" ht="30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customFormat="false" ht="30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30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30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customFormat="false" ht="30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customFormat="false" ht="30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customFormat="false" ht="30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30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customFormat="false" ht="30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customFormat="false" ht="30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customFormat="false" ht="30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30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30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30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customFormat="false" ht="30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30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customFormat="false" ht="30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customFormat="false" ht="30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customFormat="false" ht="30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customFormat="false" ht="30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customFormat="false" ht="30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customFormat="false" ht="30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customFormat="false" ht="30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customFormat="false" ht="30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180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6" t="s">
        <v>181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s">
        <v>20</v>
      </c>
      <c r="B5" s="7" t="s">
        <v>21</v>
      </c>
      <c r="C5" s="7" t="s">
        <v>182</v>
      </c>
      <c r="D5" s="7" t="s">
        <v>22</v>
      </c>
      <c r="E5" s="7" t="s">
        <v>23</v>
      </c>
      <c r="F5" s="8"/>
    </row>
    <row r="6" customFormat="false" ht="15" hidden="false" customHeight="true" outlineLevel="0" collapsed="false">
      <c r="A6" s="9" t="s">
        <v>183</v>
      </c>
      <c r="B6" s="26" t="n">
        <v>191651.31</v>
      </c>
      <c r="C6" s="9" t="s">
        <v>184</v>
      </c>
      <c r="D6" s="9"/>
      <c r="E6" s="9"/>
      <c r="F6" s="9"/>
    </row>
    <row r="7" customFormat="false" ht="15" hidden="false" customHeight="true" outlineLevel="0" collapsed="false">
      <c r="A7" s="9" t="s">
        <v>185</v>
      </c>
      <c r="B7" s="27" t="n">
        <v>0.05</v>
      </c>
      <c r="C7" s="9" t="s">
        <v>184</v>
      </c>
      <c r="D7" s="9"/>
      <c r="E7" s="9"/>
      <c r="F7" s="9"/>
    </row>
    <row r="8" customFormat="false" ht="15" hidden="false" customHeight="true" outlineLevel="0" collapsed="false">
      <c r="A8" s="9" t="s">
        <v>186</v>
      </c>
      <c r="B8" s="12" t="n">
        <f aca="false">B6*B7</f>
        <v>9582.5655</v>
      </c>
      <c r="C8" s="9" t="s">
        <v>187</v>
      </c>
      <c r="D8" s="9"/>
      <c r="E8" s="9"/>
      <c r="F8" s="9"/>
    </row>
    <row r="9" customFormat="false" ht="15" hidden="false" customHeight="true" outlineLevel="0" collapsed="false">
      <c r="A9" s="9" t="s">
        <v>188</v>
      </c>
      <c r="B9" s="27" t="n">
        <v>0.02</v>
      </c>
      <c r="C9" s="9" t="s">
        <v>184</v>
      </c>
      <c r="D9" s="9"/>
      <c r="E9" s="9"/>
      <c r="F9" s="9"/>
    </row>
    <row r="10" customFormat="false" ht="15" hidden="false" customHeight="true" outlineLevel="0" collapsed="false">
      <c r="A10" s="9" t="s">
        <v>189</v>
      </c>
      <c r="B10" s="12" t="n">
        <f aca="false">B6*B9</f>
        <v>3833.0262</v>
      </c>
      <c r="C10" s="9" t="s">
        <v>187</v>
      </c>
      <c r="D10" s="9"/>
      <c r="E10" s="9"/>
      <c r="F10" s="9"/>
    </row>
    <row r="11" customFormat="false" ht="15" hidden="false" customHeight="true" outlineLevel="0" collapsed="false">
      <c r="A11" s="9" t="s">
        <v>118</v>
      </c>
      <c r="B11" s="26" t="n">
        <v>3000</v>
      </c>
      <c r="C11" s="9" t="s">
        <v>184</v>
      </c>
      <c r="D11" s="9"/>
      <c r="E11" s="9"/>
      <c r="F11" s="9"/>
    </row>
    <row r="12" customFormat="false" ht="15" hidden="false" customHeight="true" outlineLevel="0" collapsed="false">
      <c r="A12" s="9" t="s">
        <v>190</v>
      </c>
      <c r="B12" s="26" t="n">
        <v>5000</v>
      </c>
      <c r="C12" s="9" t="s">
        <v>184</v>
      </c>
      <c r="D12" s="9"/>
      <c r="E12" s="9"/>
      <c r="F12" s="9"/>
    </row>
    <row r="13" customFormat="false" ht="15" hidden="false" customHeight="true" outlineLevel="0" collapsed="false">
      <c r="A13" s="9" t="s">
        <v>191</v>
      </c>
      <c r="B13" s="26" t="n">
        <v>0</v>
      </c>
      <c r="C13" s="9" t="s">
        <v>184</v>
      </c>
      <c r="D13" s="9"/>
      <c r="E13" s="9"/>
      <c r="F13" s="9"/>
    </row>
    <row r="14" customFormat="false" ht="15" hidden="false" customHeight="true" outlineLevel="0" collapsed="false">
      <c r="A14" s="9" t="s">
        <v>121</v>
      </c>
      <c r="B14" s="26" t="n">
        <v>10000</v>
      </c>
      <c r="C14" s="9" t="s">
        <v>184</v>
      </c>
      <c r="D14" s="9"/>
      <c r="E14" s="9"/>
      <c r="F14" s="9"/>
    </row>
    <row r="15" customFormat="false" ht="15" hidden="false" customHeight="true" outlineLevel="0" collapsed="false">
      <c r="A15" s="9" t="s">
        <v>192</v>
      </c>
      <c r="B15" s="26" t="n">
        <v>5000</v>
      </c>
      <c r="C15" s="9" t="s">
        <v>184</v>
      </c>
      <c r="D15" s="9"/>
      <c r="E15" s="9"/>
      <c r="F15" s="9"/>
    </row>
    <row r="16" customFormat="false" ht="15" hidden="false" customHeight="true" outlineLevel="0" collapsed="false">
      <c r="A16" s="9" t="s">
        <v>193</v>
      </c>
      <c r="B16" s="26" t="n">
        <v>0</v>
      </c>
      <c r="C16" s="9" t="s">
        <v>184</v>
      </c>
      <c r="D16" s="9"/>
      <c r="E16" s="9"/>
      <c r="F16" s="9"/>
    </row>
    <row r="17" customFormat="false" ht="15" hidden="false" customHeight="true" outlineLevel="0" collapsed="false">
      <c r="A17" s="9" t="s">
        <v>194</v>
      </c>
      <c r="B17" s="26" t="n">
        <v>0</v>
      </c>
      <c r="C17" s="9" t="s">
        <v>184</v>
      </c>
      <c r="D17" s="9"/>
      <c r="E17" s="9"/>
      <c r="F17" s="9"/>
    </row>
    <row r="18" customFormat="false" ht="15" hidden="false" customHeight="true" outlineLevel="0" collapsed="false">
      <c r="A18" s="9" t="s">
        <v>195</v>
      </c>
      <c r="B18" s="27" t="n">
        <v>0</v>
      </c>
      <c r="C18" s="9" t="s">
        <v>184</v>
      </c>
      <c r="D18" s="9"/>
      <c r="E18" s="9"/>
      <c r="F18" s="9"/>
    </row>
    <row r="19" customFormat="false" ht="15" hidden="false" customHeight="true" outlineLevel="0" collapsed="false">
      <c r="A19" s="9" t="s">
        <v>196</v>
      </c>
      <c r="B19" s="12" t="n">
        <f aca="false">B17*B18</f>
        <v>0</v>
      </c>
      <c r="C19" s="9" t="s">
        <v>187</v>
      </c>
      <c r="D19" s="9"/>
      <c r="E19" s="9"/>
      <c r="F19" s="9"/>
    </row>
    <row r="20" customFormat="false" ht="15" hidden="false" customHeight="true" outlineLevel="0" collapsed="false">
      <c r="A20" s="9" t="s">
        <v>197</v>
      </c>
      <c r="B20" s="12" t="n">
        <f aca="false">B19</f>
        <v>0</v>
      </c>
      <c r="C20" s="9" t="s">
        <v>187</v>
      </c>
      <c r="D20" s="9"/>
      <c r="E20" s="9"/>
      <c r="F20" s="9"/>
    </row>
    <row r="21" customFormat="false" ht="15" hidden="false" customHeight="true" outlineLevel="0" collapsed="false">
      <c r="A21" s="9" t="s">
        <v>198</v>
      </c>
      <c r="B21" s="12" t="n">
        <f aca="false">SUM(B6,B8,B10:B17,B20)</f>
        <v>228066.9017</v>
      </c>
      <c r="C21" s="9" t="s">
        <v>187</v>
      </c>
      <c r="D21" s="9"/>
      <c r="E21" s="9"/>
      <c r="F21" s="9"/>
    </row>
    <row r="23" customFormat="false" ht="15" hidden="false" customHeight="true" outlineLevel="0" collapsed="false">
      <c r="A23" s="6" t="s">
        <v>199</v>
      </c>
      <c r="B23" s="6"/>
      <c r="C23" s="6"/>
      <c r="D23" s="6"/>
      <c r="E23" s="6"/>
      <c r="F23" s="6"/>
    </row>
    <row r="24" customFormat="false" ht="15" hidden="false" customHeight="true" outlineLevel="0" collapsed="false">
      <c r="A24" s="7" t="s">
        <v>20</v>
      </c>
      <c r="B24" s="7" t="s">
        <v>21</v>
      </c>
      <c r="C24" s="7" t="s">
        <v>182</v>
      </c>
      <c r="D24" s="7" t="s">
        <v>22</v>
      </c>
      <c r="E24" s="7" t="s">
        <v>23</v>
      </c>
      <c r="F24" s="8"/>
    </row>
    <row r="25" customFormat="false" ht="15" hidden="false" customHeight="true" outlineLevel="0" collapsed="false">
      <c r="A25" s="9" t="s">
        <v>200</v>
      </c>
      <c r="B25" s="26" t="n">
        <v>300000</v>
      </c>
      <c r="C25" s="9" t="s">
        <v>184</v>
      </c>
      <c r="D25" s="9"/>
      <c r="E25" s="9"/>
      <c r="F25" s="9"/>
    </row>
    <row r="26" customFormat="false" ht="15" hidden="false" customHeight="true" outlineLevel="0" collapsed="false">
      <c r="A26" s="9" t="s">
        <v>201</v>
      </c>
      <c r="B26" s="27" t="n">
        <v>0.06</v>
      </c>
      <c r="C26" s="9" t="s">
        <v>184</v>
      </c>
      <c r="D26" s="9"/>
      <c r="E26" s="9"/>
      <c r="F26" s="9"/>
    </row>
    <row r="27" customFormat="false" ht="15" hidden="false" customHeight="true" outlineLevel="0" collapsed="false">
      <c r="A27" s="9" t="s">
        <v>202</v>
      </c>
      <c r="B27" s="12" t="n">
        <f aca="false">B25*B26</f>
        <v>18000</v>
      </c>
      <c r="C27" s="9" t="s">
        <v>187</v>
      </c>
      <c r="D27" s="9"/>
      <c r="E27" s="9"/>
      <c r="F27" s="9"/>
    </row>
    <row r="28" customFormat="false" ht="15" hidden="false" customHeight="true" outlineLevel="0" collapsed="false">
      <c r="A28" s="9" t="s">
        <v>203</v>
      </c>
      <c r="B28" s="26" t="n">
        <v>0</v>
      </c>
      <c r="C28" s="9" t="s">
        <v>184</v>
      </c>
      <c r="D28" s="9"/>
      <c r="E28" s="9"/>
      <c r="F28" s="9"/>
    </row>
    <row r="29" customFormat="false" ht="15" hidden="false" customHeight="true" outlineLevel="0" collapsed="false">
      <c r="A29" s="9" t="s">
        <v>204</v>
      </c>
      <c r="B29" s="12" t="n">
        <f aca="false">MAX(0,B25-B27-B28-B21)</f>
        <v>53933.0983</v>
      </c>
      <c r="C29" s="9" t="s">
        <v>187</v>
      </c>
      <c r="D29" s="9"/>
      <c r="E29" s="9"/>
      <c r="F29" s="9"/>
    </row>
    <row r="30" customFormat="false" ht="15" hidden="false" customHeight="true" outlineLevel="0" collapsed="false">
      <c r="A30" s="9" t="s">
        <v>205</v>
      </c>
      <c r="B30" s="27" t="n">
        <v>0.15</v>
      </c>
      <c r="C30" s="9" t="s">
        <v>184</v>
      </c>
      <c r="D30" s="9"/>
      <c r="E30" s="9"/>
      <c r="F30" s="9"/>
    </row>
    <row r="31" customFormat="false" ht="15" hidden="false" customHeight="true" outlineLevel="0" collapsed="false">
      <c r="A31" s="9" t="s">
        <v>206</v>
      </c>
      <c r="B31" s="12" t="n">
        <f aca="false">B29*B30</f>
        <v>8089.964745</v>
      </c>
      <c r="C31" s="9" t="s">
        <v>187</v>
      </c>
      <c r="D31" s="9"/>
      <c r="E31" s="9"/>
      <c r="F31" s="9"/>
    </row>
    <row r="32" customFormat="false" ht="15" hidden="false" customHeight="true" outlineLevel="0" collapsed="false">
      <c r="A32" s="9" t="s">
        <v>207</v>
      </c>
      <c r="B32" s="12" t="n">
        <f aca="false">B25-B27-B28-B31</f>
        <v>273910.035255</v>
      </c>
      <c r="C32" s="9" t="s">
        <v>187</v>
      </c>
      <c r="D32" s="9"/>
      <c r="E32" s="9"/>
      <c r="F32" s="9"/>
    </row>
    <row r="33" customFormat="false" ht="15" hidden="false" customHeight="true" outlineLevel="0" collapsed="false">
      <c r="A33" s="9" t="s">
        <v>208</v>
      </c>
      <c r="B33" s="12" t="n">
        <f aca="false">B32-B21</f>
        <v>45843.133555</v>
      </c>
      <c r="C33" s="9" t="s">
        <v>187</v>
      </c>
      <c r="D33" s="9"/>
      <c r="E33" s="9"/>
      <c r="F33" s="9"/>
    </row>
    <row r="34" customFormat="false" ht="15" hidden="false" customHeight="true" outlineLevel="0" collapsed="false">
      <c r="A34" s="9" t="s">
        <v>209</v>
      </c>
      <c r="B34" s="13" t="n">
        <f aca="false">IFERROR(B33/B21,0)</f>
        <v>0.201007393941372</v>
      </c>
      <c r="C34" s="9" t="s">
        <v>187</v>
      </c>
      <c r="D34" s="9"/>
      <c r="E34" s="9"/>
      <c r="F34" s="9"/>
    </row>
    <row r="35" customFormat="false" ht="15" hidden="false" customHeight="true" outlineLevel="0" collapsed="false">
      <c r="A35" s="9" t="s">
        <v>210</v>
      </c>
      <c r="B35" s="13" t="n">
        <f aca="false">IFERROR(B33/B25,0)</f>
        <v>0.152810445183333</v>
      </c>
      <c r="C35" s="9" t="s">
        <v>187</v>
      </c>
      <c r="D35" s="9"/>
      <c r="E35" s="9"/>
      <c r="F35" s="9"/>
    </row>
    <row r="36" customFormat="false" ht="15" hidden="false" customHeight="true" outlineLevel="0" collapsed="false">
      <c r="B36" s="28"/>
    </row>
    <row r="38" customFormat="false" ht="15" hidden="false" customHeight="true" outlineLevel="0" collapsed="false">
      <c r="A38" s="6" t="s">
        <v>211</v>
      </c>
      <c r="B38" s="6"/>
      <c r="C38" s="6"/>
      <c r="D38" s="6"/>
      <c r="E38" s="6"/>
      <c r="F38" s="6"/>
    </row>
    <row r="39" customFormat="false" ht="15" hidden="false" customHeight="true" outlineLevel="0" collapsed="false">
      <c r="A39" s="7" t="s">
        <v>20</v>
      </c>
      <c r="B39" s="7" t="s">
        <v>21</v>
      </c>
      <c r="C39" s="7" t="s">
        <v>182</v>
      </c>
      <c r="D39" s="7" t="s">
        <v>22</v>
      </c>
      <c r="E39" s="7" t="s">
        <v>23</v>
      </c>
      <c r="F39" s="8"/>
    </row>
    <row r="40" customFormat="false" ht="15" hidden="false" customHeight="true" outlineLevel="0" collapsed="false">
      <c r="A40" s="9" t="s">
        <v>212</v>
      </c>
      <c r="B40" s="26" t="n">
        <v>1900</v>
      </c>
      <c r="C40" s="9" t="s">
        <v>184</v>
      </c>
      <c r="D40" s="9"/>
      <c r="E40" s="9"/>
      <c r="F40" s="9"/>
    </row>
    <row r="41" customFormat="false" ht="15" hidden="false" customHeight="true" outlineLevel="0" collapsed="false">
      <c r="A41" s="9" t="s">
        <v>213</v>
      </c>
      <c r="B41" s="26" t="n">
        <v>510</v>
      </c>
      <c r="C41" s="9" t="s">
        <v>184</v>
      </c>
      <c r="D41" s="9"/>
      <c r="E41" s="9"/>
      <c r="F41" s="9"/>
    </row>
    <row r="42" customFormat="false" ht="15" hidden="false" customHeight="true" outlineLevel="0" collapsed="false">
      <c r="A42" s="9" t="s">
        <v>214</v>
      </c>
      <c r="B42" s="26" t="n">
        <v>25</v>
      </c>
      <c r="C42" s="9" t="s">
        <v>184</v>
      </c>
      <c r="D42" s="9"/>
      <c r="E42" s="9"/>
      <c r="F42" s="9"/>
    </row>
    <row r="43" customFormat="false" ht="15" hidden="false" customHeight="true" outlineLevel="0" collapsed="false">
      <c r="A43" s="9" t="s">
        <v>215</v>
      </c>
      <c r="B43" s="26" t="n">
        <v>0</v>
      </c>
      <c r="C43" s="9" t="s">
        <v>184</v>
      </c>
      <c r="D43" s="9"/>
      <c r="E43" s="9"/>
      <c r="F43" s="9"/>
    </row>
    <row r="44" customFormat="false" ht="15" hidden="false" customHeight="true" outlineLevel="0" collapsed="false">
      <c r="A44" s="9" t="s">
        <v>216</v>
      </c>
      <c r="B44" s="26" t="n">
        <v>100</v>
      </c>
      <c r="C44" s="9" t="s">
        <v>184</v>
      </c>
      <c r="D44" s="9"/>
      <c r="E44" s="9"/>
      <c r="F44" s="9"/>
    </row>
    <row r="45" customFormat="false" ht="15" hidden="false" customHeight="true" outlineLevel="0" collapsed="false">
      <c r="A45" s="9" t="s">
        <v>217</v>
      </c>
      <c r="B45" s="27" t="n">
        <v>0.05</v>
      </c>
      <c r="C45" s="9" t="s">
        <v>184</v>
      </c>
      <c r="D45" s="9"/>
      <c r="E45" s="9"/>
      <c r="F45" s="9"/>
    </row>
    <row r="46" customFormat="false" ht="15" hidden="false" customHeight="true" outlineLevel="0" collapsed="false">
      <c r="A46" s="9" t="s">
        <v>218</v>
      </c>
      <c r="B46" s="12" t="n">
        <f aca="false">B40*B45</f>
        <v>95</v>
      </c>
      <c r="C46" s="9" t="s">
        <v>187</v>
      </c>
      <c r="D46" s="9"/>
      <c r="E46" s="9"/>
      <c r="F46" s="9"/>
    </row>
    <row r="47" customFormat="false" ht="15" hidden="false" customHeight="true" outlineLevel="0" collapsed="false">
      <c r="A47" s="9" t="s">
        <v>219</v>
      </c>
      <c r="B47" s="27" t="n">
        <v>0</v>
      </c>
      <c r="C47" s="9" t="s">
        <v>184</v>
      </c>
      <c r="D47" s="9"/>
      <c r="E47" s="9"/>
      <c r="F47" s="9"/>
    </row>
    <row r="48" customFormat="false" ht="15" hidden="false" customHeight="true" outlineLevel="0" collapsed="false">
      <c r="A48" s="9" t="s">
        <v>220</v>
      </c>
      <c r="B48" s="12" t="n">
        <f aca="false">MAX(0,B40-B46-B41-B42-B43-B44)*B47</f>
        <v>0</v>
      </c>
      <c r="C48" s="9" t="s">
        <v>187</v>
      </c>
      <c r="D48" s="9"/>
      <c r="E48" s="9"/>
      <c r="F48" s="9"/>
    </row>
    <row r="49" customFormat="false" ht="15" hidden="false" customHeight="true" outlineLevel="0" collapsed="false">
      <c r="A49" s="9" t="s">
        <v>221</v>
      </c>
      <c r="B49" s="12" t="n">
        <f aca="false">MAX(0,B40-B41-B42-B43-B44-B46-B48)</f>
        <v>1170</v>
      </c>
      <c r="C49" s="9" t="s">
        <v>187</v>
      </c>
      <c r="D49" s="9"/>
      <c r="E49" s="9"/>
      <c r="F49" s="9"/>
    </row>
    <row r="50" customFormat="false" ht="15" hidden="false" customHeight="true" outlineLevel="0" collapsed="false">
      <c r="A50" s="9" t="s">
        <v>222</v>
      </c>
      <c r="B50" s="13" t="n">
        <f aca="false">IFERROR(B40/B21,0)</f>
        <v>0.00833088881305218</v>
      </c>
      <c r="C50" s="9" t="s">
        <v>187</v>
      </c>
      <c r="D50" s="9"/>
      <c r="E50" s="9"/>
      <c r="F50" s="9"/>
    </row>
    <row r="51" customFormat="false" ht="15" hidden="false" customHeight="true" outlineLevel="0" collapsed="false">
      <c r="A51" s="9" t="s">
        <v>223</v>
      </c>
      <c r="B51" s="13" t="n">
        <f aca="false">IFERROR(B49/B21,0)</f>
        <v>0.00513007363751108</v>
      </c>
      <c r="C51" s="9" t="s">
        <v>187</v>
      </c>
      <c r="D51" s="9"/>
      <c r="E51" s="9"/>
      <c r="F51" s="9"/>
    </row>
    <row r="52" customFormat="false" ht="15" hidden="false" customHeight="true" outlineLevel="0" collapsed="false">
      <c r="A52" s="9" t="s">
        <v>224</v>
      </c>
      <c r="B52" s="13" t="n">
        <f aca="false">B51*12</f>
        <v>0.0615608836501329</v>
      </c>
      <c r="C52" s="9" t="s">
        <v>187</v>
      </c>
      <c r="D52" s="9"/>
      <c r="E52" s="9"/>
      <c r="F52" s="9"/>
    </row>
    <row r="53" customFormat="false" ht="15" hidden="false" customHeight="true" outlineLevel="0" collapsed="false">
      <c r="A53" s="9" t="s">
        <v>225</v>
      </c>
      <c r="B53" s="12" t="n">
        <f aca="false">B49*12</f>
        <v>14040</v>
      </c>
      <c r="C53" s="9" t="s">
        <v>187</v>
      </c>
      <c r="D53" s="9"/>
      <c r="E53" s="9"/>
      <c r="F53" s="9"/>
    </row>
    <row r="55" customFormat="false" ht="15" hidden="false" customHeight="true" outlineLevel="0" collapsed="false">
      <c r="A55" s="6" t="s">
        <v>226</v>
      </c>
      <c r="B55" s="6"/>
      <c r="C55" s="6"/>
      <c r="D55" s="6"/>
      <c r="E55" s="6"/>
      <c r="F55" s="6"/>
    </row>
    <row r="56" customFormat="false" ht="15" hidden="false" customHeight="true" outlineLevel="0" collapsed="false">
      <c r="A56" s="7" t="s">
        <v>20</v>
      </c>
      <c r="B56" s="7" t="s">
        <v>21</v>
      </c>
      <c r="C56" s="7" t="s">
        <v>182</v>
      </c>
      <c r="D56" s="7" t="s">
        <v>22</v>
      </c>
      <c r="E56" s="7" t="s">
        <v>23</v>
      </c>
      <c r="F56" s="8"/>
    </row>
    <row r="57" customFormat="false" ht="15" hidden="false" customHeight="true" outlineLevel="0" collapsed="false">
      <c r="A57" s="9" t="s">
        <v>227</v>
      </c>
      <c r="B57" s="27" t="n">
        <v>0.05</v>
      </c>
      <c r="C57" s="9" t="s">
        <v>184</v>
      </c>
      <c r="D57" s="9"/>
      <c r="E57" s="9"/>
      <c r="F57" s="9"/>
    </row>
    <row r="58" customFormat="false" ht="15" hidden="false" customHeight="true" outlineLevel="0" collapsed="false">
      <c r="A58" s="9" t="s">
        <v>228</v>
      </c>
      <c r="B58" s="26" t="n">
        <v>300000</v>
      </c>
      <c r="C58" s="9" t="s">
        <v>184</v>
      </c>
      <c r="D58" s="9"/>
      <c r="E58" s="9"/>
      <c r="F58" s="9"/>
    </row>
    <row r="59" customFormat="false" ht="15" hidden="false" customHeight="true" outlineLevel="0" collapsed="false">
      <c r="A59" s="9" t="s">
        <v>229</v>
      </c>
      <c r="B59" s="12" t="n">
        <f aca="false">B58*(1+B57)</f>
        <v>315000</v>
      </c>
      <c r="C59" s="9" t="s">
        <v>187</v>
      </c>
      <c r="D59" s="9"/>
      <c r="E59" s="9"/>
      <c r="F59" s="9"/>
    </row>
    <row r="60" customFormat="false" ht="15" hidden="false" customHeight="true" outlineLevel="0" collapsed="false">
      <c r="A60" s="9" t="s">
        <v>230</v>
      </c>
      <c r="B60" s="12" t="n">
        <f aca="false">B59-B58</f>
        <v>15000</v>
      </c>
      <c r="C60" s="9" t="s">
        <v>187</v>
      </c>
      <c r="D60" s="9"/>
      <c r="E60" s="9"/>
      <c r="F60" s="9"/>
    </row>
    <row r="61" customFormat="false" ht="15" hidden="false" customHeight="true" outlineLevel="0" collapsed="false">
      <c r="A61" s="9" t="s">
        <v>231</v>
      </c>
      <c r="B61" s="12" t="n">
        <f aca="false">B53</f>
        <v>14040</v>
      </c>
      <c r="C61" s="9" t="s">
        <v>187</v>
      </c>
      <c r="D61" s="9"/>
      <c r="E61" s="9"/>
      <c r="F61" s="9"/>
    </row>
    <row r="62" customFormat="false" ht="15" hidden="false" customHeight="true" outlineLevel="0" collapsed="false">
      <c r="A62" s="9" t="s">
        <v>232</v>
      </c>
      <c r="B62" s="12" t="n">
        <f aca="false">B60+B61</f>
        <v>29040</v>
      </c>
      <c r="C62" s="9" t="s">
        <v>187</v>
      </c>
      <c r="D62" s="9"/>
      <c r="E62" s="9"/>
      <c r="F62" s="9"/>
    </row>
    <row r="63" customFormat="false" ht="15" hidden="false" customHeight="true" outlineLevel="0" collapsed="false">
      <c r="A63" s="9" t="s">
        <v>233</v>
      </c>
      <c r="B63" s="13" t="n">
        <f aca="false">IFERROR(B62/B21,0)</f>
        <v>0.127331058490019</v>
      </c>
      <c r="C63" s="9" t="s">
        <v>187</v>
      </c>
      <c r="D63" s="9"/>
      <c r="E63" s="9"/>
      <c r="F63" s="9"/>
    </row>
    <row r="65" customFormat="false" ht="15" hidden="false" customHeight="true" outlineLevel="0" collapsed="false">
      <c r="A65" s="6" t="s">
        <v>234</v>
      </c>
      <c r="B65" s="6"/>
      <c r="C65" s="6"/>
      <c r="D65" s="6"/>
      <c r="E65" s="6"/>
      <c r="F65" s="6"/>
    </row>
    <row r="66" customFormat="false" ht="15" hidden="false" customHeight="true" outlineLevel="0" collapsed="false">
      <c r="A66" s="7" t="s">
        <v>20</v>
      </c>
      <c r="B66" s="7" t="s">
        <v>21</v>
      </c>
      <c r="C66" s="7" t="s">
        <v>182</v>
      </c>
      <c r="D66" s="7" t="s">
        <v>22</v>
      </c>
      <c r="E66" s="7" t="s">
        <v>23</v>
      </c>
      <c r="F66" s="8"/>
    </row>
    <row r="67" customFormat="false" ht="15" hidden="false" customHeight="true" outlineLevel="0" collapsed="false">
      <c r="A67" s="9" t="s">
        <v>235</v>
      </c>
      <c r="B67" s="27" t="n">
        <v>0.25</v>
      </c>
      <c r="C67" s="9" t="s">
        <v>184</v>
      </c>
      <c r="D67" s="9"/>
      <c r="E67" s="9"/>
      <c r="F67" s="9"/>
    </row>
    <row r="68" customFormat="false" ht="15" hidden="false" customHeight="true" outlineLevel="0" collapsed="false">
      <c r="A68" s="9" t="s">
        <v>236</v>
      </c>
      <c r="B68" s="12" t="n">
        <f aca="false">B25</f>
        <v>300000</v>
      </c>
      <c r="C68" s="9" t="s">
        <v>187</v>
      </c>
      <c r="D68" s="9"/>
      <c r="E68" s="9"/>
      <c r="F68" s="9"/>
    </row>
    <row r="69" customFormat="false" ht="15" hidden="false" customHeight="true" outlineLevel="0" collapsed="false">
      <c r="A69" s="9" t="s">
        <v>237</v>
      </c>
      <c r="B69" s="13" t="n">
        <f aca="false">B26</f>
        <v>0.06</v>
      </c>
      <c r="C69" s="9" t="s">
        <v>187</v>
      </c>
      <c r="D69" s="9"/>
      <c r="E69" s="9"/>
      <c r="F69" s="9"/>
    </row>
    <row r="70" customFormat="false" ht="15" hidden="false" customHeight="true" outlineLevel="0" collapsed="false">
      <c r="A70" s="9" t="s">
        <v>238</v>
      </c>
      <c r="B70" s="13" t="n">
        <f aca="false">B30</f>
        <v>0.15</v>
      </c>
      <c r="C70" s="9" t="s">
        <v>187</v>
      </c>
      <c r="D70" s="9"/>
      <c r="E70" s="9"/>
      <c r="F70" s="9"/>
    </row>
    <row r="71" customFormat="false" ht="15" hidden="false" customHeight="true" outlineLevel="0" collapsed="false">
      <c r="A71" s="9" t="s">
        <v>239</v>
      </c>
      <c r="B71" s="12" t="n">
        <f aca="false">SUM(B11:B17,B20)</f>
        <v>23000</v>
      </c>
      <c r="C71" s="9" t="s">
        <v>187</v>
      </c>
      <c r="D71" s="9"/>
      <c r="E71" s="9"/>
      <c r="F71" s="9"/>
    </row>
    <row r="72" customFormat="false" ht="15" hidden="false" customHeight="true" outlineLevel="0" collapsed="false">
      <c r="A72" s="9" t="s">
        <v>240</v>
      </c>
      <c r="B72" s="13" t="n">
        <f aca="false">B7</f>
        <v>0.05</v>
      </c>
      <c r="C72" s="9" t="s">
        <v>187</v>
      </c>
      <c r="D72" s="9"/>
      <c r="E72" s="9"/>
      <c r="F72" s="9"/>
    </row>
    <row r="73" customFormat="false" ht="15" hidden="false" customHeight="true" outlineLevel="0" collapsed="false">
      <c r="A73" s="9" t="s">
        <v>241</v>
      </c>
      <c r="B73" s="12" t="n">
        <f aca="false">MAX(0,(B68*(1-B69)-B70*(B68*(1-B69)-B71)-B71)/(1+B72*(1+B70)+B67))</f>
        <v>168374.760994264</v>
      </c>
      <c r="C73" s="9" t="s">
        <v>187</v>
      </c>
      <c r="D73" s="9"/>
      <c r="E73" s="9"/>
      <c r="F73" s="9"/>
    </row>
  </sheetData>
  <mergeCells count="7">
    <mergeCell ref="A1:F1"/>
    <mergeCell ref="A2:F2"/>
    <mergeCell ref="A4:F4"/>
    <mergeCell ref="A23:F23"/>
    <mergeCell ref="A38:F38"/>
    <mergeCell ref="A55:F55"/>
    <mergeCell ref="A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242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6" t="s">
        <v>243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s">
        <v>23</v>
      </c>
      <c r="B5" s="7" t="s">
        <v>244</v>
      </c>
      <c r="C5" s="7" t="s">
        <v>182</v>
      </c>
      <c r="D5" s="7" t="s">
        <v>245</v>
      </c>
      <c r="E5" s="7" t="s">
        <v>246</v>
      </c>
      <c r="F5" s="7" t="s">
        <v>247</v>
      </c>
      <c r="G5" s="7" t="s">
        <v>248</v>
      </c>
      <c r="H5" s="7" t="s">
        <v>249</v>
      </c>
      <c r="I5" s="7" t="s">
        <v>250</v>
      </c>
      <c r="J5" s="7" t="s">
        <v>119</v>
      </c>
      <c r="K5" s="7" t="s">
        <v>24</v>
      </c>
      <c r="L5" s="7" t="s">
        <v>251</v>
      </c>
      <c r="M5" s="7" t="s">
        <v>74</v>
      </c>
    </row>
    <row r="6" customFormat="false" ht="15" hidden="false" customHeight="true" outlineLevel="0" collapsed="false">
      <c r="A6" s="25" t="s">
        <v>252</v>
      </c>
      <c r="B6" s="25" t="s">
        <v>253</v>
      </c>
      <c r="C6" s="25" t="s">
        <v>254</v>
      </c>
      <c r="D6" s="25" t="n">
        <v>47</v>
      </c>
      <c r="E6" s="25" t="n">
        <v>2</v>
      </c>
      <c r="F6" s="25" t="n">
        <v>1</v>
      </c>
      <c r="G6" s="25" t="n">
        <v>320000</v>
      </c>
      <c r="H6" s="25" t="n">
        <v>6808.51063829787</v>
      </c>
      <c r="I6" s="25" t="n">
        <v>1700</v>
      </c>
      <c r="J6" s="25" t="n">
        <v>510</v>
      </c>
      <c r="K6" s="25" t="s">
        <v>164</v>
      </c>
      <c r="L6" s="25"/>
      <c r="M6" s="25" t="s">
        <v>255</v>
      </c>
    </row>
    <row r="7" customFormat="false" ht="15" hidden="false" customHeight="true" outlineLevel="0" collapsed="false">
      <c r="A7" s="25" t="s">
        <v>256</v>
      </c>
      <c r="B7" s="25" t="s">
        <v>253</v>
      </c>
      <c r="C7" s="25" t="s">
        <v>254</v>
      </c>
      <c r="D7" s="25" t="n">
        <v>47.76</v>
      </c>
      <c r="E7" s="25" t="n">
        <v>2</v>
      </c>
      <c r="F7" s="25" t="n">
        <v>1</v>
      </c>
      <c r="G7" s="25" t="n">
        <v>300000</v>
      </c>
      <c r="H7" s="25" t="n">
        <v>6281.40703517588</v>
      </c>
      <c r="I7" s="25" t="n">
        <v>1700</v>
      </c>
      <c r="J7" s="25" t="n">
        <v>510</v>
      </c>
      <c r="K7" s="25" t="s">
        <v>164</v>
      </c>
      <c r="L7" s="25"/>
      <c r="M7" s="25" t="s">
        <v>257</v>
      </c>
    </row>
    <row r="8" customFormat="false" ht="15" hidden="false" customHeight="true" outlineLevel="0" collapsed="false">
      <c r="A8" s="25" t="s">
        <v>258</v>
      </c>
      <c r="B8" s="25" t="s">
        <v>259</v>
      </c>
      <c r="C8" s="25" t="s">
        <v>254</v>
      </c>
      <c r="D8" s="25" t="n">
        <v>47.76</v>
      </c>
      <c r="E8" s="25" t="n">
        <v>3</v>
      </c>
      <c r="F8" s="25" t="n">
        <v>1</v>
      </c>
      <c r="G8" s="25" t="n">
        <v>191651.31</v>
      </c>
      <c r="H8" s="25" t="n">
        <v>4012.79962311558</v>
      </c>
      <c r="I8" s="25" t="n">
        <v>1900</v>
      </c>
      <c r="J8" s="25" t="n">
        <v>510</v>
      </c>
      <c r="K8" s="25" t="s">
        <v>164</v>
      </c>
      <c r="L8" s="25"/>
      <c r="M8" s="25" t="s">
        <v>260</v>
      </c>
    </row>
    <row r="9" customFormat="false" ht="15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customFormat="false" ht="15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customFormat="false" ht="1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customFormat="false" ht="1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customFormat="false" ht="1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customFormat="false" ht="1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customFormat="false" ht="1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customFormat="false" ht="1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customFormat="false" ht="1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customFormat="false" ht="1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customFormat="false" ht="1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customFormat="false" ht="1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customFormat="false" ht="1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customFormat="false" ht="1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customFormat="false" ht="1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8" customFormat="false" ht="15" hidden="false" customHeight="true" outlineLevel="0" collapsed="false">
      <c r="A28" s="6" t="s">
        <v>261</v>
      </c>
      <c r="B28" s="6"/>
      <c r="C28" s="6"/>
      <c r="D28" s="6"/>
      <c r="E28" s="6"/>
      <c r="F28" s="6"/>
    </row>
    <row r="29" customFormat="false" ht="15" hidden="false" customHeight="true" outlineLevel="0" collapsed="false">
      <c r="A29" s="7" t="s">
        <v>20</v>
      </c>
      <c r="B29" s="7" t="s">
        <v>21</v>
      </c>
      <c r="C29" s="7" t="s">
        <v>182</v>
      </c>
      <c r="D29" s="7" t="s">
        <v>22</v>
      </c>
      <c r="E29" s="7" t="s">
        <v>23</v>
      </c>
      <c r="F29" s="8"/>
    </row>
    <row r="30" customFormat="false" ht="15" hidden="false" customHeight="true" outlineLevel="0" collapsed="false">
      <c r="A30" s="9" t="s">
        <v>262</v>
      </c>
      <c r="B30" s="10" t="n">
        <v>270000</v>
      </c>
      <c r="C30" s="9" t="s">
        <v>184</v>
      </c>
      <c r="D30" s="9"/>
      <c r="E30" s="9"/>
      <c r="F30" s="9"/>
    </row>
    <row r="31" customFormat="false" ht="15" hidden="false" customHeight="true" outlineLevel="0" collapsed="false">
      <c r="A31" s="9" t="s">
        <v>263</v>
      </c>
      <c r="B31" s="10" t="n">
        <v>290000</v>
      </c>
      <c r="C31" s="9" t="s">
        <v>184</v>
      </c>
      <c r="D31" s="9"/>
      <c r="E31" s="9"/>
      <c r="F31" s="9"/>
    </row>
    <row r="32" customFormat="false" ht="15" hidden="false" customHeight="true" outlineLevel="0" collapsed="false">
      <c r="A32" s="9" t="s">
        <v>264</v>
      </c>
      <c r="B32" s="10" t="n">
        <v>85</v>
      </c>
      <c r="C32" s="9" t="s">
        <v>184</v>
      </c>
      <c r="D32" s="9"/>
      <c r="E32" s="9"/>
      <c r="F32" s="9"/>
    </row>
    <row r="33" customFormat="false" ht="15" hidden="false" customHeight="true" outlineLevel="0" collapsed="false">
      <c r="A33" s="9" t="s">
        <v>265</v>
      </c>
      <c r="B33" s="10" t="n">
        <v>80</v>
      </c>
      <c r="C33" s="9" t="s">
        <v>184</v>
      </c>
      <c r="D33" s="9"/>
      <c r="E33" s="9"/>
      <c r="F33" s="9"/>
    </row>
    <row r="34" customFormat="false" ht="15" hidden="false" customHeight="true" outlineLevel="0" collapsed="false">
      <c r="A34" s="9" t="s">
        <v>266</v>
      </c>
      <c r="B34" s="10" t="n">
        <f aca="false">IFERROR(B31/INDEX($D$6:$D$25,MATCH(MAX($G$6:$G$25),$G$6:$G$25,0)),0)</f>
        <v>6170.21276595745</v>
      </c>
      <c r="C34" s="9" t="s">
        <v>184</v>
      </c>
      <c r="D34" s="9"/>
      <c r="E34" s="9"/>
      <c r="F34" s="9"/>
    </row>
    <row r="35" customFormat="false" ht="15" hidden="false" customHeight="true" outlineLevel="0" collapsed="false">
      <c r="A35" s="9" t="s">
        <v>109</v>
      </c>
      <c r="B35" s="10" t="n">
        <v>1900</v>
      </c>
      <c r="C35" s="9" t="s">
        <v>184</v>
      </c>
      <c r="D35" s="9"/>
      <c r="E35" s="9"/>
      <c r="F35" s="9"/>
    </row>
    <row r="36" customFormat="false" ht="15" hidden="false" customHeight="true" outlineLevel="0" collapsed="false">
      <c r="A36" s="9" t="s">
        <v>267</v>
      </c>
      <c r="B36" s="10" t="s">
        <v>268</v>
      </c>
      <c r="C36" s="9" t="s">
        <v>184</v>
      </c>
      <c r="D36" s="9"/>
      <c r="E36" s="9"/>
      <c r="F36" s="9"/>
    </row>
    <row r="37" customFormat="false" ht="15" hidden="false" customHeight="true" outlineLevel="0" collapsed="false">
      <c r="A37" s="9" t="s">
        <v>269</v>
      </c>
      <c r="B37" s="10" t="n">
        <v>0.05</v>
      </c>
      <c r="C37" s="9" t="s">
        <v>184</v>
      </c>
      <c r="D37" s="9"/>
      <c r="E37" s="9"/>
      <c r="F37" s="9"/>
    </row>
  </sheetData>
  <mergeCells count="4">
    <mergeCell ref="A1:F1"/>
    <mergeCell ref="A2:F2"/>
    <mergeCell ref="A4:F4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270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6" t="s">
        <v>271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s">
        <v>35</v>
      </c>
      <c r="B5" s="7" t="s">
        <v>21</v>
      </c>
      <c r="C5" s="7" t="s">
        <v>182</v>
      </c>
      <c r="D5" s="7" t="s">
        <v>272</v>
      </c>
      <c r="E5" s="7" t="s">
        <v>23</v>
      </c>
      <c r="F5" s="7" t="s">
        <v>24</v>
      </c>
    </row>
    <row r="6" customFormat="false" ht="15" hidden="false" customHeight="true" outlineLevel="0" collapsed="false">
      <c r="A6" s="9" t="s">
        <v>273</v>
      </c>
      <c r="B6" s="10"/>
      <c r="C6" s="9" t="s">
        <v>184</v>
      </c>
      <c r="D6" s="9"/>
      <c r="E6" s="9"/>
      <c r="F6" s="9"/>
    </row>
    <row r="7" customFormat="false" ht="15" hidden="false" customHeight="true" outlineLevel="0" collapsed="false">
      <c r="A7" s="9" t="s">
        <v>274</v>
      </c>
      <c r="B7" s="10"/>
      <c r="C7" s="9" t="s">
        <v>184</v>
      </c>
      <c r="D7" s="9"/>
      <c r="E7" s="9"/>
      <c r="F7" s="9"/>
    </row>
    <row r="8" customFormat="false" ht="15" hidden="false" customHeight="true" outlineLevel="0" collapsed="false">
      <c r="A8" s="9" t="s">
        <v>275</v>
      </c>
      <c r="B8" s="10"/>
      <c r="C8" s="9" t="s">
        <v>184</v>
      </c>
      <c r="D8" s="9"/>
      <c r="E8" s="9"/>
      <c r="F8" s="9"/>
    </row>
    <row r="9" customFormat="false" ht="15" hidden="false" customHeight="true" outlineLevel="0" collapsed="false">
      <c r="A9" s="9" t="s">
        <v>276</v>
      </c>
      <c r="B9" s="10"/>
      <c r="C9" s="9" t="s">
        <v>184</v>
      </c>
      <c r="D9" s="9"/>
      <c r="E9" s="9"/>
      <c r="F9" s="9"/>
    </row>
    <row r="10" customFormat="false" ht="15" hidden="false" customHeight="true" outlineLevel="0" collapsed="false">
      <c r="A10" s="9" t="s">
        <v>277</v>
      </c>
      <c r="B10" s="10"/>
      <c r="C10" s="9" t="s">
        <v>184</v>
      </c>
      <c r="D10" s="9"/>
      <c r="E10" s="9"/>
      <c r="F10" s="9"/>
    </row>
    <row r="11" customFormat="false" ht="15" hidden="false" customHeight="true" outlineLevel="0" collapsed="false">
      <c r="A11" s="9" t="s">
        <v>278</v>
      </c>
      <c r="B11" s="10"/>
      <c r="C11" s="9" t="s">
        <v>184</v>
      </c>
      <c r="D11" s="9"/>
      <c r="E11" s="9"/>
      <c r="F11" s="9"/>
    </row>
    <row r="12" customFormat="false" ht="15" hidden="false" customHeight="true" outlineLevel="0" collapsed="false">
      <c r="A12" s="9" t="s">
        <v>279</v>
      </c>
      <c r="B12" s="10"/>
      <c r="C12" s="9" t="s">
        <v>184</v>
      </c>
      <c r="D12" s="9"/>
      <c r="E12" s="9"/>
      <c r="F12" s="9"/>
    </row>
    <row r="13" customFormat="false" ht="15" hidden="false" customHeight="true" outlineLevel="0" collapsed="false">
      <c r="A13" s="9" t="s">
        <v>280</v>
      </c>
      <c r="B13" s="10"/>
      <c r="C13" s="9" t="s">
        <v>184</v>
      </c>
      <c r="D13" s="9"/>
      <c r="E13" s="9"/>
      <c r="F13" s="9"/>
    </row>
    <row r="14" customFormat="false" ht="15" hidden="false" customHeight="true" outlineLevel="0" collapsed="false">
      <c r="A14" s="9" t="s">
        <v>281</v>
      </c>
      <c r="B14" s="10"/>
      <c r="C14" s="9" t="s">
        <v>184</v>
      </c>
      <c r="D14" s="9"/>
      <c r="E14" s="9"/>
      <c r="F14" s="9"/>
    </row>
    <row r="15" customFormat="false" ht="15" hidden="false" customHeight="true" outlineLevel="0" collapsed="false">
      <c r="A15" s="9" t="s">
        <v>282</v>
      </c>
      <c r="B15" s="10"/>
      <c r="C15" s="9" t="s">
        <v>184</v>
      </c>
      <c r="D15" s="9"/>
      <c r="E15" s="9"/>
      <c r="F15" s="9"/>
    </row>
    <row r="18" customFormat="false" ht="15" hidden="false" customHeight="true" outlineLevel="0" collapsed="false">
      <c r="A18" s="9" t="s">
        <v>141</v>
      </c>
      <c r="B18" s="10" t="n">
        <v>85</v>
      </c>
      <c r="C18" s="9" t="s">
        <v>184</v>
      </c>
      <c r="D18" s="9" t="s">
        <v>283</v>
      </c>
      <c r="E18" s="9"/>
      <c r="F18" s="9"/>
    </row>
    <row r="20" customFormat="false" ht="15" hidden="false" customHeight="true" outlineLevel="0" collapsed="false">
      <c r="A20" s="9" t="s">
        <v>284</v>
      </c>
      <c r="B20" s="11" t="n">
        <f aca="false">B18</f>
        <v>85</v>
      </c>
      <c r="C20" s="9" t="s">
        <v>187</v>
      </c>
      <c r="D20" s="9"/>
      <c r="E20" s="9"/>
      <c r="F20" s="9"/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285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7" t="s">
        <v>24</v>
      </c>
      <c r="B4" s="7" t="s">
        <v>286</v>
      </c>
      <c r="C4" s="7" t="s">
        <v>287</v>
      </c>
      <c r="D4" s="7" t="s">
        <v>288</v>
      </c>
      <c r="E4" s="7" t="s">
        <v>289</v>
      </c>
      <c r="F4" s="7" t="s">
        <v>290</v>
      </c>
      <c r="G4" s="7" t="s">
        <v>291</v>
      </c>
      <c r="H4" s="7" t="s">
        <v>292</v>
      </c>
      <c r="I4" s="7" t="s">
        <v>293</v>
      </c>
      <c r="J4" s="7" t="s">
        <v>294</v>
      </c>
      <c r="K4" s="7" t="s">
        <v>295</v>
      </c>
      <c r="L4" s="7" t="s">
        <v>74</v>
      </c>
    </row>
    <row r="5" customFormat="false" ht="15" hidden="false" customHeight="true" outlineLevel="0" collapsed="false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customFormat="false" ht="15" hidden="false" customHeight="tru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customFormat="false" ht="1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customFormat="false" ht="1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customFormat="false" ht="15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customFormat="false" ht="15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customFormat="false" ht="1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customFormat="false" ht="1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customFormat="false" ht="1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false" ht="1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customFormat="false" ht="1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customFormat="false" ht="1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customFormat="false" ht="1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customFormat="false" ht="1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customFormat="false" ht="1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customFormat="false" ht="1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1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1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customFormat="false" ht="1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customFormat="false" ht="15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customFormat="false" ht="1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customFormat="false" ht="1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1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1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customFormat="false" ht="1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customFormat="false" ht="1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customFormat="false" ht="1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customFormat="false" ht="1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customFormat="false" ht="1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customFormat="false" ht="1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customFormat="false" ht="1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customFormat="false" ht="1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customFormat="false" ht="1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customFormat="false" ht="1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customFormat="false" ht="1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customFormat="false" ht="1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customFormat="false" ht="1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customFormat="false" ht="1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customFormat="false" ht="1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customFormat="false" ht="1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customFormat="false" ht="15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customFormat="false" ht="1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296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7" t="s">
        <v>182</v>
      </c>
      <c r="B4" s="7" t="s">
        <v>297</v>
      </c>
      <c r="C4" s="7" t="s">
        <v>24</v>
      </c>
      <c r="D4" s="7" t="s">
        <v>23</v>
      </c>
      <c r="E4" s="7" t="s">
        <v>298</v>
      </c>
      <c r="F4" s="7" t="s">
        <v>1</v>
      </c>
      <c r="G4" s="7" t="s">
        <v>299</v>
      </c>
      <c r="H4" s="7" t="s">
        <v>74</v>
      </c>
    </row>
    <row r="5" customFormat="false" ht="15" hidden="false" customHeight="true" outlineLevel="0" collapsed="false">
      <c r="A5" s="25"/>
      <c r="B5" s="25"/>
      <c r="C5" s="25"/>
      <c r="D5" s="25"/>
      <c r="E5" s="25"/>
      <c r="F5" s="25"/>
      <c r="G5" s="25"/>
      <c r="H5" s="25"/>
    </row>
    <row r="6" customFormat="false" ht="15" hidden="false" customHeight="true" outlineLevel="0" collapsed="false">
      <c r="A6" s="25"/>
      <c r="B6" s="25"/>
      <c r="C6" s="25"/>
      <c r="D6" s="25"/>
      <c r="E6" s="25"/>
      <c r="F6" s="25"/>
      <c r="G6" s="25"/>
      <c r="H6" s="25"/>
    </row>
    <row r="7" customFormat="false" ht="15" hidden="false" customHeight="true" outlineLevel="0" collapsed="false">
      <c r="A7" s="25"/>
      <c r="B7" s="25"/>
      <c r="C7" s="25"/>
      <c r="D7" s="25"/>
      <c r="E7" s="25"/>
      <c r="F7" s="25"/>
      <c r="G7" s="25"/>
      <c r="H7" s="25"/>
    </row>
    <row r="8" customFormat="false" ht="15" hidden="false" customHeight="true" outlineLevel="0" collapsed="false">
      <c r="A8" s="25"/>
      <c r="B8" s="25"/>
      <c r="C8" s="25"/>
      <c r="D8" s="25"/>
      <c r="E8" s="25"/>
      <c r="F8" s="25"/>
      <c r="G8" s="25"/>
      <c r="H8" s="25"/>
    </row>
    <row r="9" customFormat="false" ht="15" hidden="false" customHeight="true" outlineLevel="0" collapsed="false">
      <c r="A9" s="25"/>
      <c r="B9" s="25"/>
      <c r="C9" s="25"/>
      <c r="D9" s="25"/>
      <c r="E9" s="25"/>
      <c r="F9" s="25"/>
      <c r="G9" s="25"/>
      <c r="H9" s="25"/>
    </row>
    <row r="10" customFormat="false" ht="15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</row>
    <row r="11" customFormat="false" ht="1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</row>
    <row r="12" customFormat="false" ht="1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</row>
    <row r="13" customFormat="false" ht="1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</row>
    <row r="15" customFormat="false" ht="1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</row>
    <row r="16" customFormat="false" ht="1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</row>
    <row r="18" customFormat="false" ht="1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</row>
    <row r="19" customFormat="false" ht="1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</row>
    <row r="20" customFormat="false" ht="1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</row>
    <row r="22" customFormat="false" ht="1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</row>
    <row r="23" customFormat="false" ht="1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</row>
    <row r="24" customFormat="false" ht="1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</row>
    <row r="25" customFormat="false" ht="1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</row>
    <row r="26" customFormat="false" ht="15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</row>
    <row r="27" customFormat="false" ht="1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</row>
    <row r="28" customFormat="false" ht="1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</row>
    <row r="29" customFormat="false" ht="1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</row>
    <row r="32" customFormat="false" ht="1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</row>
    <row r="33" customFormat="false" ht="1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</row>
    <row r="34" customFormat="false" ht="1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</row>
    <row r="35" customFormat="false" ht="1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</row>
    <row r="36" customFormat="false" ht="1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</row>
    <row r="37" customFormat="false" ht="1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</row>
    <row r="38" customFormat="false" ht="1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</row>
    <row r="39" customFormat="false" ht="1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</row>
    <row r="41" customFormat="false" ht="1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</row>
    <row r="42" customFormat="false" ht="1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</row>
    <row r="43" customFormat="false" ht="1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</row>
    <row r="44" customFormat="false" ht="1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</row>
    <row r="45" customFormat="false" ht="1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</row>
    <row r="46" customFormat="false" ht="1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</row>
    <row r="47" customFormat="false" ht="1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</row>
    <row r="48" customFormat="false" ht="1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</row>
    <row r="49" customFormat="false" ht="1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</row>
    <row r="50" customFormat="false" ht="1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</row>
    <row r="51" customFormat="false" ht="1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</row>
    <row r="52" customFormat="false" ht="15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</row>
    <row r="53" customFormat="false" ht="1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</row>
    <row r="54" customFormat="false" ht="1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</row>
    <row r="55" customFormat="false" ht="1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</row>
    <row r="56" customFormat="false" ht="1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</row>
    <row r="57" customFormat="false" ht="1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</row>
    <row r="58" customFormat="false" ht="15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</row>
    <row r="59" customFormat="false" ht="1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</row>
    <row r="60" customFormat="false" ht="15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</row>
    <row r="61" customFormat="false" ht="1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</row>
    <row r="62" customFormat="false" ht="15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</row>
    <row r="63" customFormat="false" ht="1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</row>
    <row r="64" customFormat="false" ht="15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55"/>
  </cols>
  <sheetData>
    <row r="1" customFormat="false" ht="25.5" hidden="false" customHeight="true" outlineLevel="0" collapsed="false">
      <c r="A1" s="2" t="s">
        <v>300</v>
      </c>
      <c r="B1" s="2"/>
      <c r="C1" s="2"/>
      <c r="D1" s="2"/>
    </row>
    <row r="2" customFormat="false" ht="21.75" hidden="false" customHeight="true" outlineLevel="0" collapsed="false">
      <c r="A2" s="4" t="s">
        <v>301</v>
      </c>
      <c r="B2" s="4"/>
      <c r="C2" s="4"/>
      <c r="D2" s="4"/>
    </row>
    <row r="3" customFormat="false" ht="15" hidden="false" customHeight="true" outlineLevel="0" collapsed="false">
      <c r="A3" s="15"/>
      <c r="B3" s="15"/>
      <c r="C3" s="15"/>
      <c r="D3" s="15"/>
    </row>
    <row r="4" customFormat="false" ht="15" hidden="false" customHeight="true" outlineLevel="0" collapsed="false">
      <c r="A4" s="6" t="s">
        <v>302</v>
      </c>
      <c r="B4" s="6"/>
      <c r="C4" s="6"/>
      <c r="D4" s="6"/>
    </row>
    <row r="5" customFormat="false" ht="15" hidden="false" customHeight="true" outlineLevel="0" collapsed="false">
      <c r="A5" s="7" t="s">
        <v>20</v>
      </c>
      <c r="B5" s="7" t="s">
        <v>21</v>
      </c>
      <c r="C5" s="7" t="s">
        <v>303</v>
      </c>
      <c r="D5" s="7" t="s">
        <v>304</v>
      </c>
    </row>
    <row r="6" customFormat="false" ht="15" hidden="false" customHeight="true" outlineLevel="0" collapsed="false">
      <c r="A6" s="9" t="s">
        <v>305</v>
      </c>
      <c r="B6" s="10" t="s">
        <v>306</v>
      </c>
      <c r="C6" s="9" t="s">
        <v>307</v>
      </c>
      <c r="D6" s="10" t="s">
        <v>308</v>
      </c>
    </row>
    <row r="7" customFormat="false" ht="15" hidden="false" customHeight="true" outlineLevel="0" collapsed="false">
      <c r="A7" s="9" t="s">
        <v>309</v>
      </c>
      <c r="B7" s="10" t="s">
        <v>310</v>
      </c>
      <c r="C7" s="9" t="s">
        <v>311</v>
      </c>
      <c r="D7" s="10" t="s">
        <v>312</v>
      </c>
    </row>
    <row r="8" customFormat="false" ht="15" hidden="false" customHeight="true" outlineLevel="0" collapsed="false">
      <c r="A8" s="9" t="s">
        <v>313</v>
      </c>
      <c r="B8" s="10" t="s">
        <v>310</v>
      </c>
      <c r="C8" s="9" t="s">
        <v>314</v>
      </c>
      <c r="D8" s="10" t="s">
        <v>315</v>
      </c>
    </row>
    <row r="9" customFormat="false" ht="15" hidden="false" customHeight="true" outlineLevel="0" collapsed="false">
      <c r="A9" s="9" t="s">
        <v>316</v>
      </c>
      <c r="B9" s="10" t="s">
        <v>317</v>
      </c>
      <c r="C9" s="9" t="s">
        <v>318</v>
      </c>
      <c r="D9" s="10" t="s">
        <v>163</v>
      </c>
    </row>
    <row r="10" customFormat="false" ht="15" hidden="false" customHeight="true" outlineLevel="0" collapsed="false">
      <c r="A10" s="9" t="s">
        <v>319</v>
      </c>
      <c r="B10" s="10" t="s">
        <v>310</v>
      </c>
      <c r="C10" s="9" t="s">
        <v>320</v>
      </c>
      <c r="D10" s="10" t="s">
        <v>321</v>
      </c>
    </row>
    <row r="11" customFormat="false" ht="15" hidden="false" customHeight="true" outlineLevel="0" collapsed="false">
      <c r="A11" s="9" t="s">
        <v>322</v>
      </c>
      <c r="B11" s="10" t="s">
        <v>310</v>
      </c>
      <c r="C11" s="9" t="s">
        <v>323</v>
      </c>
      <c r="D11" s="10" t="s">
        <v>315</v>
      </c>
    </row>
    <row r="12" customFormat="false" ht="15" hidden="false" customHeight="true" outlineLevel="0" collapsed="false">
      <c r="A12" s="9" t="s">
        <v>324</v>
      </c>
      <c r="B12" s="10" t="s">
        <v>310</v>
      </c>
      <c r="C12" s="9" t="s">
        <v>323</v>
      </c>
      <c r="D12" s="10" t="s">
        <v>315</v>
      </c>
    </row>
    <row r="13" customFormat="false" ht="15" hidden="false" customHeight="true" outlineLevel="0" collapsed="false">
      <c r="A13" s="9" t="s">
        <v>325</v>
      </c>
      <c r="B13" s="10" t="s">
        <v>326</v>
      </c>
      <c r="C13" s="9" t="s">
        <v>327</v>
      </c>
      <c r="D13" s="10" t="s">
        <v>308</v>
      </c>
    </row>
    <row r="14" customFormat="false" ht="27.75" hidden="false" customHeight="true" outlineLevel="0" collapsed="false">
      <c r="A14" s="9" t="s">
        <v>328</v>
      </c>
      <c r="B14" s="10" t="s">
        <v>329</v>
      </c>
      <c r="C14" s="9" t="s">
        <v>330</v>
      </c>
      <c r="D14" s="10" t="s">
        <v>308</v>
      </c>
    </row>
    <row r="15" customFormat="false" ht="27.75" hidden="false" customHeight="true" outlineLevel="0" collapsed="false">
      <c r="A15" s="9" t="s">
        <v>331</v>
      </c>
      <c r="B15" s="10" t="s">
        <v>332</v>
      </c>
      <c r="C15" s="9" t="s">
        <v>333</v>
      </c>
      <c r="D15" s="10" t="s">
        <v>334</v>
      </c>
    </row>
    <row r="16" customFormat="false" ht="15" hidden="false" customHeight="true" outlineLevel="0" collapsed="false">
      <c r="A16" s="15"/>
      <c r="B16" s="15"/>
      <c r="C16" s="15"/>
      <c r="D16" s="15"/>
    </row>
    <row r="17" customFormat="false" ht="15" hidden="false" customHeight="true" outlineLevel="0" collapsed="false">
      <c r="A17" s="6" t="s">
        <v>335</v>
      </c>
      <c r="B17" s="6"/>
      <c r="C17" s="6"/>
      <c r="D17" s="6"/>
    </row>
    <row r="18" customFormat="false" ht="15" hidden="false" customHeight="true" outlineLevel="0" collapsed="false">
      <c r="A18" s="7" t="s">
        <v>20</v>
      </c>
      <c r="B18" s="7" t="s">
        <v>21</v>
      </c>
      <c r="C18" s="7" t="s">
        <v>303</v>
      </c>
      <c r="D18" s="7" t="s">
        <v>304</v>
      </c>
    </row>
    <row r="19" customFormat="false" ht="15" hidden="false" customHeight="true" outlineLevel="0" collapsed="false">
      <c r="A19" s="9" t="s">
        <v>336</v>
      </c>
      <c r="B19" s="10" t="s">
        <v>337</v>
      </c>
      <c r="C19" s="9" t="s">
        <v>338</v>
      </c>
      <c r="D19" s="10" t="s">
        <v>163</v>
      </c>
    </row>
    <row r="20" customFormat="false" ht="15" hidden="false" customHeight="true" outlineLevel="0" collapsed="false">
      <c r="A20" s="9" t="s">
        <v>339</v>
      </c>
      <c r="B20" s="10" t="s">
        <v>340</v>
      </c>
      <c r="C20" s="9" t="s">
        <v>341</v>
      </c>
      <c r="D20" s="10" t="s">
        <v>163</v>
      </c>
    </row>
    <row r="21" customFormat="false" ht="27.75" hidden="false" customHeight="true" outlineLevel="0" collapsed="false">
      <c r="A21" s="9" t="s">
        <v>342</v>
      </c>
      <c r="B21" s="10" t="s">
        <v>343</v>
      </c>
      <c r="C21" s="9" t="s">
        <v>344</v>
      </c>
      <c r="D21" s="10" t="s">
        <v>345</v>
      </c>
    </row>
    <row r="22" customFormat="false" ht="15" hidden="false" customHeight="true" outlineLevel="0" collapsed="false">
      <c r="A22" s="9" t="s">
        <v>346</v>
      </c>
      <c r="B22" s="10" t="s">
        <v>317</v>
      </c>
      <c r="C22" s="9" t="s">
        <v>347</v>
      </c>
      <c r="D22" s="10" t="s">
        <v>163</v>
      </c>
    </row>
    <row r="23" customFormat="false" ht="15" hidden="false" customHeight="true" outlineLevel="0" collapsed="false">
      <c r="A23" s="9" t="s">
        <v>348</v>
      </c>
      <c r="B23" s="10" t="s">
        <v>349</v>
      </c>
      <c r="C23" s="9" t="s">
        <v>350</v>
      </c>
      <c r="D23" s="10" t="s">
        <v>351</v>
      </c>
    </row>
    <row r="24" customFormat="false" ht="15" hidden="false" customHeight="true" outlineLevel="0" collapsed="false">
      <c r="A24" s="9" t="s">
        <v>352</v>
      </c>
      <c r="B24" s="10" t="s">
        <v>353</v>
      </c>
      <c r="C24" s="9" t="s">
        <v>354</v>
      </c>
      <c r="D24" s="10" t="s">
        <v>163</v>
      </c>
    </row>
    <row r="25" customFormat="false" ht="27.75" hidden="false" customHeight="true" outlineLevel="0" collapsed="false">
      <c r="A25" s="9" t="s">
        <v>355</v>
      </c>
      <c r="B25" s="10" t="s">
        <v>356</v>
      </c>
      <c r="C25" s="9" t="s">
        <v>357</v>
      </c>
      <c r="D25" s="10" t="s">
        <v>358</v>
      </c>
    </row>
    <row r="26" customFormat="false" ht="15" hidden="false" customHeight="true" outlineLevel="0" collapsed="false">
      <c r="A26" s="15"/>
      <c r="B26" s="15"/>
      <c r="C26" s="15"/>
      <c r="D26" s="15"/>
    </row>
    <row r="27" customFormat="false" ht="15" hidden="false" customHeight="true" outlineLevel="0" collapsed="false">
      <c r="A27" s="6" t="s">
        <v>359</v>
      </c>
      <c r="B27" s="6"/>
      <c r="C27" s="6"/>
      <c r="D27" s="6"/>
    </row>
    <row r="28" customFormat="false" ht="15" hidden="false" customHeight="true" outlineLevel="0" collapsed="false">
      <c r="A28" s="7" t="s">
        <v>20</v>
      </c>
      <c r="B28" s="7" t="s">
        <v>21</v>
      </c>
      <c r="C28" s="7" t="s">
        <v>303</v>
      </c>
      <c r="D28" s="7" t="s">
        <v>304</v>
      </c>
    </row>
    <row r="29" customFormat="false" ht="15" hidden="false" customHeight="true" outlineLevel="0" collapsed="false">
      <c r="A29" s="9" t="s">
        <v>360</v>
      </c>
      <c r="B29" s="10" t="s">
        <v>361</v>
      </c>
      <c r="C29" s="9" t="s">
        <v>362</v>
      </c>
      <c r="D29" s="10"/>
    </row>
    <row r="30" customFormat="false" ht="27.75" hidden="false" customHeight="true" outlineLevel="0" collapsed="false">
      <c r="A30" s="9" t="s">
        <v>363</v>
      </c>
      <c r="B30" s="10" t="s">
        <v>361</v>
      </c>
      <c r="C30" s="9" t="s">
        <v>364</v>
      </c>
      <c r="D30" s="10"/>
    </row>
    <row r="31" customFormat="false" ht="27.75" hidden="false" customHeight="true" outlineLevel="0" collapsed="false">
      <c r="A31" s="9" t="s">
        <v>365</v>
      </c>
      <c r="B31" s="10" t="s">
        <v>361</v>
      </c>
      <c r="C31" s="9" t="s">
        <v>62</v>
      </c>
      <c r="D31" s="10"/>
    </row>
    <row r="32" customFormat="false" ht="27.75" hidden="false" customHeight="true" outlineLevel="0" collapsed="false">
      <c r="A32" s="9" t="s">
        <v>366</v>
      </c>
      <c r="B32" s="10" t="s">
        <v>361</v>
      </c>
      <c r="C32" s="9" t="s">
        <v>62</v>
      </c>
      <c r="D32" s="10"/>
    </row>
    <row r="33" customFormat="false" ht="27.75" hidden="false" customHeight="true" outlineLevel="0" collapsed="false">
      <c r="A33" s="9" t="s">
        <v>367</v>
      </c>
      <c r="B33" s="10" t="s">
        <v>361</v>
      </c>
      <c r="C33" s="9" t="s">
        <v>364</v>
      </c>
      <c r="D33" s="10"/>
    </row>
    <row r="34" customFormat="false" ht="27.75" hidden="false" customHeight="true" outlineLevel="0" collapsed="false">
      <c r="A34" s="9" t="s">
        <v>368</v>
      </c>
      <c r="B34" s="10" t="s">
        <v>361</v>
      </c>
      <c r="C34" s="9" t="s">
        <v>62</v>
      </c>
      <c r="D34" s="10"/>
    </row>
    <row r="35" customFormat="false" ht="27.75" hidden="false" customHeight="true" outlineLevel="0" collapsed="false">
      <c r="A35" s="9" t="s">
        <v>369</v>
      </c>
      <c r="B35" s="10" t="s">
        <v>361</v>
      </c>
      <c r="C35" s="9" t="s">
        <v>370</v>
      </c>
      <c r="D35" s="10"/>
    </row>
    <row r="36" customFormat="false" ht="27.75" hidden="false" customHeight="true" outlineLevel="0" collapsed="false">
      <c r="A36" s="9" t="s">
        <v>371</v>
      </c>
      <c r="B36" s="10" t="s">
        <v>361</v>
      </c>
      <c r="C36" s="9" t="s">
        <v>370</v>
      </c>
      <c r="D36" s="10"/>
    </row>
    <row r="37" customFormat="false" ht="27.75" hidden="false" customHeight="true" outlineLevel="0" collapsed="false">
      <c r="A37" s="9" t="s">
        <v>372</v>
      </c>
      <c r="B37" s="10" t="s">
        <v>361</v>
      </c>
      <c r="C37" s="9" t="s">
        <v>373</v>
      </c>
      <c r="D37" s="10"/>
    </row>
    <row r="38" customFormat="false" ht="15" hidden="false" customHeight="true" outlineLevel="0" collapsed="false">
      <c r="A38" s="15"/>
      <c r="B38" s="15"/>
      <c r="C38" s="15"/>
      <c r="D38" s="15"/>
    </row>
    <row r="39" customFormat="false" ht="15" hidden="false" customHeight="true" outlineLevel="0" collapsed="false">
      <c r="A39" s="6" t="s">
        <v>374</v>
      </c>
      <c r="B39" s="6"/>
      <c r="C39" s="6"/>
      <c r="D39" s="6"/>
    </row>
    <row r="40" customFormat="false" ht="15" hidden="false" customHeight="true" outlineLevel="0" collapsed="false">
      <c r="A40" s="7" t="s">
        <v>20</v>
      </c>
      <c r="B40" s="7" t="s">
        <v>21</v>
      </c>
      <c r="C40" s="7" t="s">
        <v>303</v>
      </c>
      <c r="D40" s="7" t="s">
        <v>304</v>
      </c>
    </row>
    <row r="41" customFormat="false" ht="15" hidden="false" customHeight="true" outlineLevel="0" collapsed="false">
      <c r="A41" s="9" t="s">
        <v>375</v>
      </c>
      <c r="B41" s="10" t="s">
        <v>361</v>
      </c>
      <c r="C41" s="9" t="s">
        <v>376</v>
      </c>
      <c r="D41" s="10"/>
    </row>
    <row r="42" customFormat="false" ht="15" hidden="false" customHeight="true" outlineLevel="0" collapsed="false">
      <c r="A42" s="9" t="s">
        <v>377</v>
      </c>
      <c r="B42" s="10" t="s">
        <v>361</v>
      </c>
      <c r="C42" s="9" t="s">
        <v>376</v>
      </c>
      <c r="D42" s="10"/>
    </row>
    <row r="43" customFormat="false" ht="15" hidden="false" customHeight="true" outlineLevel="0" collapsed="false">
      <c r="A43" s="9" t="s">
        <v>378</v>
      </c>
      <c r="B43" s="10" t="s">
        <v>361</v>
      </c>
      <c r="C43" s="9" t="s">
        <v>376</v>
      </c>
      <c r="D43" s="10"/>
    </row>
    <row r="44" customFormat="false" ht="15" hidden="false" customHeight="true" outlineLevel="0" collapsed="false">
      <c r="A44" s="9" t="s">
        <v>379</v>
      </c>
      <c r="B44" s="10" t="s">
        <v>361</v>
      </c>
      <c r="C44" s="9" t="s">
        <v>376</v>
      </c>
      <c r="D44" s="10"/>
    </row>
    <row r="45" customFormat="false" ht="15" hidden="false" customHeight="true" outlineLevel="0" collapsed="false">
      <c r="A45" s="9" t="s">
        <v>380</v>
      </c>
      <c r="B45" s="10" t="s">
        <v>361</v>
      </c>
      <c r="C45" s="9" t="s">
        <v>376</v>
      </c>
      <c r="D45" s="10"/>
    </row>
    <row r="46" customFormat="false" ht="15" hidden="false" customHeight="true" outlineLevel="0" collapsed="false">
      <c r="A46" s="9" t="s">
        <v>381</v>
      </c>
      <c r="B46" s="10" t="s">
        <v>361</v>
      </c>
      <c r="C46" s="9" t="s">
        <v>376</v>
      </c>
      <c r="D46" s="10"/>
    </row>
    <row r="47" customFormat="false" ht="15" hidden="false" customHeight="true" outlineLevel="0" collapsed="false">
      <c r="A47" s="9" t="s">
        <v>382</v>
      </c>
      <c r="B47" s="10" t="s">
        <v>361</v>
      </c>
      <c r="C47" s="9" t="s">
        <v>376</v>
      </c>
      <c r="D47" s="10"/>
    </row>
    <row r="48" customFormat="false" ht="15" hidden="false" customHeight="true" outlineLevel="0" collapsed="false">
      <c r="A48" s="9" t="s">
        <v>383</v>
      </c>
      <c r="B48" s="10" t="s">
        <v>361</v>
      </c>
      <c r="C48" s="9" t="s">
        <v>376</v>
      </c>
      <c r="D48" s="10"/>
    </row>
    <row r="49" customFormat="false" ht="15" hidden="false" customHeight="true" outlineLevel="0" collapsed="false">
      <c r="A49" s="9" t="s">
        <v>384</v>
      </c>
      <c r="B49" s="10" t="s">
        <v>361</v>
      </c>
      <c r="C49" s="9" t="s">
        <v>376</v>
      </c>
      <c r="D49" s="10"/>
    </row>
    <row r="50" customFormat="false" ht="15" hidden="false" customHeight="true" outlineLevel="0" collapsed="false">
      <c r="A50" s="9" t="s">
        <v>385</v>
      </c>
      <c r="B50" s="10" t="s">
        <v>361</v>
      </c>
      <c r="C50" s="9" t="s">
        <v>376</v>
      </c>
      <c r="D50" s="10"/>
    </row>
    <row r="51" customFormat="false" ht="15" hidden="false" customHeight="true" outlineLevel="0" collapsed="false">
      <c r="A51" s="9" t="s">
        <v>386</v>
      </c>
      <c r="B51" s="10" t="s">
        <v>361</v>
      </c>
      <c r="C51" s="9" t="s">
        <v>376</v>
      </c>
      <c r="D51" s="10"/>
    </row>
    <row r="52" customFormat="false" ht="15" hidden="false" customHeight="true" outlineLevel="0" collapsed="false">
      <c r="A52" s="9" t="s">
        <v>387</v>
      </c>
      <c r="B52" s="10" t="s">
        <v>361</v>
      </c>
      <c r="C52" s="9" t="s">
        <v>376</v>
      </c>
      <c r="D52" s="10"/>
    </row>
    <row r="53" customFormat="false" ht="15" hidden="false" customHeight="true" outlineLevel="0" collapsed="false">
      <c r="A53" s="15"/>
      <c r="B53" s="15"/>
      <c r="C53" s="15"/>
      <c r="D53" s="15"/>
    </row>
    <row r="54" customFormat="false" ht="15" hidden="false" customHeight="true" outlineLevel="0" collapsed="false">
      <c r="A54" s="6" t="s">
        <v>388</v>
      </c>
      <c r="B54" s="6"/>
      <c r="C54" s="6"/>
      <c r="D54" s="6"/>
    </row>
    <row r="55" customFormat="false" ht="15" hidden="false" customHeight="true" outlineLevel="0" collapsed="false">
      <c r="A55" s="7" t="s">
        <v>20</v>
      </c>
      <c r="B55" s="7" t="s">
        <v>21</v>
      </c>
      <c r="C55" s="7" t="s">
        <v>303</v>
      </c>
      <c r="D55" s="7" t="s">
        <v>304</v>
      </c>
    </row>
    <row r="56" customFormat="false" ht="15" hidden="false" customHeight="true" outlineLevel="0" collapsed="false">
      <c r="A56" s="9" t="s">
        <v>389</v>
      </c>
      <c r="B56" s="10" t="s">
        <v>310</v>
      </c>
      <c r="C56" s="9" t="s">
        <v>390</v>
      </c>
      <c r="D56" s="10" t="s">
        <v>391</v>
      </c>
    </row>
    <row r="57" customFormat="false" ht="15" hidden="false" customHeight="true" outlineLevel="0" collapsed="false">
      <c r="A57" s="9" t="s">
        <v>392</v>
      </c>
      <c r="B57" s="10" t="s">
        <v>310</v>
      </c>
      <c r="C57" s="9" t="s">
        <v>393</v>
      </c>
      <c r="D57" s="10" t="s">
        <v>394</v>
      </c>
    </row>
    <row r="58" customFormat="false" ht="15" hidden="false" customHeight="true" outlineLevel="0" collapsed="false">
      <c r="A58" s="9" t="s">
        <v>395</v>
      </c>
      <c r="B58" s="10" t="s">
        <v>310</v>
      </c>
      <c r="C58" s="9" t="s">
        <v>396</v>
      </c>
      <c r="D58" s="10" t="s">
        <v>397</v>
      </c>
    </row>
    <row r="59" customFormat="false" ht="15" hidden="false" customHeight="true" outlineLevel="0" collapsed="false">
      <c r="A59" s="9" t="s">
        <v>1</v>
      </c>
      <c r="B59" s="10" t="s">
        <v>398</v>
      </c>
      <c r="C59" s="9" t="s">
        <v>399</v>
      </c>
      <c r="D59" s="10" t="s">
        <v>400</v>
      </c>
    </row>
    <row r="60" customFormat="false" ht="15" hidden="false" customHeight="true" outlineLevel="0" collapsed="false">
      <c r="A60" s="9" t="s">
        <v>401</v>
      </c>
      <c r="B60" s="10" t="s">
        <v>402</v>
      </c>
      <c r="C60" s="9" t="s">
        <v>403</v>
      </c>
      <c r="D60" s="10" t="s">
        <v>404</v>
      </c>
    </row>
    <row r="61" customFormat="false" ht="15" hidden="false" customHeight="true" outlineLevel="0" collapsed="false">
      <c r="A61" s="15"/>
      <c r="B61" s="15"/>
      <c r="C61" s="15"/>
      <c r="D61" s="15"/>
    </row>
    <row r="62" customFormat="false" ht="15" hidden="false" customHeight="true" outlineLevel="0" collapsed="false">
      <c r="A62" s="15"/>
      <c r="B62" s="15"/>
      <c r="C62" s="15"/>
      <c r="D62" s="15"/>
    </row>
    <row r="63" customFormat="false" ht="15" hidden="false" customHeight="true" outlineLevel="0" collapsed="false">
      <c r="A63" s="6" t="s">
        <v>405</v>
      </c>
      <c r="B63" s="6"/>
      <c r="C63" s="6"/>
      <c r="D63" s="6"/>
    </row>
    <row r="64" customFormat="false" ht="15" hidden="false" customHeight="true" outlineLevel="0" collapsed="false">
      <c r="A64" s="7" t="s">
        <v>20</v>
      </c>
      <c r="B64" s="7" t="s">
        <v>21</v>
      </c>
      <c r="C64" s="7" t="s">
        <v>303</v>
      </c>
      <c r="D64" s="7" t="s">
        <v>304</v>
      </c>
    </row>
    <row r="65" customFormat="false" ht="15" hidden="false" customHeight="true" outlineLevel="0" collapsed="false">
      <c r="A65" s="9" t="s">
        <v>406</v>
      </c>
      <c r="B65" s="29" t="str">
        <f aca="false">IF(COUNTIF(B41:B52,"SIM")=12,"LIBERADO","NÃO LIBERADO")</f>
        <v>NÃO LIBERADO</v>
      </c>
      <c r="C65" s="9" t="s">
        <v>407</v>
      </c>
      <c r="D65" s="10" t="s">
        <v>408</v>
      </c>
    </row>
    <row r="66" customFormat="false" ht="15" hidden="false" customHeight="true" outlineLevel="0" collapsed="false">
      <c r="A66" s="9" t="s">
        <v>409</v>
      </c>
      <c r="B66" s="30" t="str">
        <f aca="false">IF(COUNTIF(B29:B37,"SIM")&gt;0,"BLOQUEADO","SEM BLOQUEIO")</f>
        <v>SEM BLOQUEIO</v>
      </c>
      <c r="C66" s="9" t="s">
        <v>410</v>
      </c>
      <c r="D66" s="10" t="s">
        <v>408</v>
      </c>
    </row>
    <row r="67" customFormat="false" ht="27.75" hidden="false" customHeight="true" outlineLevel="0" collapsed="false">
      <c r="A67" s="9" t="s">
        <v>411</v>
      </c>
      <c r="B67" s="30" t="str">
        <f aca="false">IF(AND(B65="LIBERADO",B66="SEM BLOQUEIO",ISNUMBER(B56),ISNUMBER(B57),B58&lt;=B57),"PODE DAR LANCE","NÃO DAR LANCE")</f>
        <v>NÃO DAR LANCE</v>
      </c>
      <c r="C67" s="9" t="s">
        <v>412</v>
      </c>
      <c r="D67" s="10" t="s">
        <v>408</v>
      </c>
    </row>
    <row r="70" customFormat="false" ht="15" hidden="false" customHeight="true" outlineLevel="0" collapsed="false">
      <c r="A70" s="6" t="s">
        <v>413</v>
      </c>
      <c r="B70" s="6"/>
      <c r="C70" s="6"/>
      <c r="D70" s="6"/>
      <c r="E70" s="6"/>
      <c r="F70" s="6"/>
    </row>
    <row r="71" customFormat="false" ht="15" hidden="false" customHeight="true" outlineLevel="0" collapsed="false">
      <c r="A71" s="15" t="s">
        <v>375</v>
      </c>
      <c r="B71" s="22"/>
      <c r="C71" s="22"/>
      <c r="D71" s="22"/>
      <c r="E71" s="22"/>
      <c r="F71" s="22"/>
    </row>
    <row r="72" customFormat="false" ht="27.75" hidden="false" customHeight="true" outlineLevel="0" collapsed="false">
      <c r="A72" s="15" t="s">
        <v>414</v>
      </c>
      <c r="B72" s="22"/>
      <c r="C72" s="22"/>
      <c r="D72" s="22"/>
      <c r="E72" s="22"/>
      <c r="F72" s="22"/>
    </row>
    <row r="73" customFormat="false" ht="27.75" hidden="false" customHeight="true" outlineLevel="0" collapsed="false">
      <c r="A73" s="15" t="s">
        <v>415</v>
      </c>
      <c r="B73" s="22"/>
      <c r="C73" s="22"/>
      <c r="D73" s="22"/>
      <c r="E73" s="22"/>
      <c r="F73" s="22"/>
    </row>
    <row r="74" customFormat="false" ht="15" hidden="false" customHeight="true" outlineLevel="0" collapsed="false">
      <c r="A74" s="15" t="s">
        <v>378</v>
      </c>
      <c r="B74" s="22"/>
      <c r="C74" s="22"/>
      <c r="D74" s="22"/>
      <c r="E74" s="22"/>
      <c r="F74" s="22"/>
    </row>
    <row r="75" customFormat="false" ht="15" hidden="false" customHeight="true" outlineLevel="0" collapsed="false">
      <c r="A75" s="15" t="s">
        <v>377</v>
      </c>
      <c r="B75" s="22"/>
      <c r="C75" s="22"/>
      <c r="D75" s="22"/>
      <c r="E75" s="22"/>
      <c r="F75" s="22"/>
    </row>
    <row r="76" customFormat="false" ht="15" hidden="false" customHeight="true" outlineLevel="0" collapsed="false">
      <c r="A76" s="15" t="s">
        <v>416</v>
      </c>
      <c r="B76" s="22"/>
      <c r="C76" s="22"/>
      <c r="D76" s="22"/>
      <c r="E76" s="22"/>
      <c r="F76" s="22"/>
    </row>
    <row r="77" customFormat="false" ht="15" hidden="false" customHeight="true" outlineLevel="0" collapsed="false">
      <c r="A77" s="15" t="s">
        <v>417</v>
      </c>
      <c r="B77" s="22"/>
      <c r="C77" s="22"/>
      <c r="D77" s="22"/>
      <c r="E77" s="22"/>
      <c r="F77" s="22"/>
    </row>
    <row r="78" customFormat="false" ht="15" hidden="false" customHeight="true" outlineLevel="0" collapsed="false">
      <c r="A78" s="15" t="s">
        <v>418</v>
      </c>
      <c r="B78" s="22"/>
      <c r="C78" s="22"/>
      <c r="D78" s="22"/>
      <c r="E78" s="22"/>
      <c r="F78" s="22"/>
    </row>
    <row r="79" customFormat="false" ht="15" hidden="false" customHeight="true" outlineLevel="0" collapsed="false">
      <c r="A79" s="15" t="s">
        <v>419</v>
      </c>
      <c r="B79" s="22"/>
      <c r="C79" s="22"/>
      <c r="D79" s="22"/>
      <c r="E79" s="22"/>
      <c r="F79" s="22"/>
    </row>
    <row r="80" customFormat="false" ht="15" hidden="false" customHeight="true" outlineLevel="0" collapsed="false">
      <c r="A80" s="15" t="s">
        <v>420</v>
      </c>
      <c r="B80" s="22"/>
      <c r="C80" s="22"/>
      <c r="D80" s="22"/>
      <c r="E80" s="22"/>
      <c r="F80" s="22"/>
    </row>
    <row r="81" customFormat="false" ht="15" hidden="false" customHeight="true" outlineLevel="0" collapsed="false">
      <c r="A81" s="15" t="s">
        <v>421</v>
      </c>
      <c r="B81" s="22"/>
      <c r="C81" s="22"/>
      <c r="D81" s="22"/>
      <c r="E81" s="22"/>
      <c r="F81" s="22"/>
    </row>
    <row r="82" customFormat="false" ht="15" hidden="false" customHeight="true" outlineLevel="0" collapsed="false">
      <c r="A82" s="15" t="s">
        <v>422</v>
      </c>
      <c r="B82" s="22"/>
      <c r="C82" s="22"/>
      <c r="D82" s="22"/>
      <c r="E82" s="22"/>
      <c r="F82" s="22"/>
    </row>
    <row r="83" customFormat="false" ht="15" hidden="false" customHeight="true" outlineLevel="0" collapsed="false">
      <c r="A83" s="15" t="s">
        <v>423</v>
      </c>
      <c r="B83" s="22"/>
      <c r="C83" s="22"/>
      <c r="D83" s="22"/>
      <c r="E83" s="22"/>
      <c r="F83" s="22"/>
    </row>
    <row r="85" customFormat="false" ht="15" hidden="false" customHeight="true" outlineLevel="0" collapsed="false">
      <c r="A85" s="6" t="s">
        <v>424</v>
      </c>
      <c r="B85" s="6"/>
      <c r="C85" s="6"/>
      <c r="D85" s="6"/>
      <c r="E85" s="6"/>
      <c r="F85" s="6"/>
    </row>
    <row r="86" customFormat="false" ht="41.25" hidden="false" customHeight="true" outlineLevel="0" collapsed="false">
      <c r="A86" s="20" t="s">
        <v>24</v>
      </c>
      <c r="B86" s="20" t="s">
        <v>425</v>
      </c>
      <c r="C86" s="20" t="s">
        <v>426</v>
      </c>
      <c r="D86" s="20" t="s">
        <v>427</v>
      </c>
      <c r="E86" s="20" t="s">
        <v>428</v>
      </c>
      <c r="F86" s="20" t="s">
        <v>429</v>
      </c>
    </row>
    <row r="87" customFormat="false" ht="15" hidden="false" customHeight="true" outlineLevel="0" collapsed="false">
      <c r="A87" s="22"/>
      <c r="B87" s="22"/>
      <c r="C87" s="22"/>
      <c r="D87" s="22"/>
      <c r="E87" s="22"/>
      <c r="F87" s="22"/>
    </row>
    <row r="88" customFormat="false" ht="15" hidden="false" customHeight="true" outlineLevel="0" collapsed="false">
      <c r="A88" s="22"/>
      <c r="B88" s="22"/>
      <c r="C88" s="22"/>
      <c r="D88" s="22"/>
      <c r="E88" s="22"/>
      <c r="F88" s="22"/>
    </row>
    <row r="89" customFormat="false" ht="15" hidden="false" customHeight="true" outlineLevel="0" collapsed="false">
      <c r="A89" s="22"/>
      <c r="B89" s="22"/>
      <c r="C89" s="22"/>
      <c r="D89" s="22"/>
      <c r="E89" s="22"/>
      <c r="F89" s="22"/>
    </row>
    <row r="90" customFormat="false" ht="15" hidden="false" customHeight="true" outlineLevel="0" collapsed="false">
      <c r="A90" s="22"/>
      <c r="B90" s="22"/>
      <c r="C90" s="22"/>
      <c r="D90" s="22"/>
      <c r="E90" s="22"/>
      <c r="F90" s="22"/>
    </row>
    <row r="91" customFormat="false" ht="15" hidden="false" customHeight="true" outlineLevel="0" collapsed="false">
      <c r="A91" s="22"/>
      <c r="B91" s="22"/>
      <c r="C91" s="22"/>
      <c r="D91" s="22"/>
      <c r="E91" s="22"/>
      <c r="F91" s="22"/>
    </row>
    <row r="93" customFormat="false" ht="15" hidden="false" customHeight="true" outlineLevel="0" collapsed="false">
      <c r="A93" s="6" t="s">
        <v>430</v>
      </c>
      <c r="B93" s="6"/>
      <c r="C93" s="6"/>
      <c r="D93" s="6"/>
      <c r="E93" s="6"/>
      <c r="F93" s="6"/>
    </row>
    <row r="94" customFormat="false" ht="27.75" hidden="false" customHeight="true" outlineLevel="0" collapsed="false">
      <c r="A94" s="20" t="s">
        <v>431</v>
      </c>
      <c r="B94" s="20" t="s">
        <v>432</v>
      </c>
      <c r="C94" s="20" t="s">
        <v>34</v>
      </c>
      <c r="D94" s="20" t="s">
        <v>23</v>
      </c>
      <c r="E94" s="20" t="s">
        <v>24</v>
      </c>
      <c r="F94" s="20" t="s">
        <v>74</v>
      </c>
    </row>
    <row r="95" customFormat="false" ht="15" hidden="false" customHeight="true" outlineLevel="0" collapsed="false">
      <c r="A95" s="15" t="s">
        <v>433</v>
      </c>
      <c r="B95" s="22"/>
      <c r="C95" s="22"/>
      <c r="D95" s="22"/>
      <c r="E95" s="22"/>
      <c r="F95" s="22"/>
    </row>
    <row r="96" customFormat="false" ht="15" hidden="false" customHeight="true" outlineLevel="0" collapsed="false">
      <c r="A96" s="15" t="s">
        <v>434</v>
      </c>
      <c r="B96" s="22"/>
      <c r="C96" s="22"/>
      <c r="D96" s="22"/>
      <c r="E96" s="22"/>
      <c r="F96" s="22"/>
    </row>
    <row r="97" customFormat="false" ht="15" hidden="false" customHeight="true" outlineLevel="0" collapsed="false">
      <c r="A97" s="15" t="s">
        <v>435</v>
      </c>
      <c r="B97" s="22"/>
      <c r="C97" s="22"/>
      <c r="D97" s="22"/>
      <c r="E97" s="22"/>
      <c r="F97" s="22"/>
    </row>
    <row r="98" customFormat="false" ht="15" hidden="false" customHeight="true" outlineLevel="0" collapsed="false">
      <c r="A98" s="15" t="s">
        <v>436</v>
      </c>
      <c r="B98" s="22"/>
      <c r="C98" s="22"/>
      <c r="D98" s="22"/>
      <c r="E98" s="22"/>
      <c r="F98" s="22"/>
    </row>
    <row r="99" customFormat="false" ht="15" hidden="false" customHeight="true" outlineLevel="0" collapsed="false">
      <c r="A99" s="15" t="s">
        <v>437</v>
      </c>
      <c r="B99" s="22"/>
      <c r="C99" s="22"/>
      <c r="D99" s="22"/>
      <c r="E99" s="22"/>
      <c r="F99" s="22"/>
    </row>
    <row r="100" customFormat="false" ht="15" hidden="false" customHeight="true" outlineLevel="0" collapsed="false">
      <c r="A100" s="15" t="s">
        <v>438</v>
      </c>
      <c r="B100" s="22"/>
      <c r="C100" s="22"/>
      <c r="D100" s="22"/>
      <c r="E100" s="22"/>
      <c r="F100" s="22"/>
    </row>
  </sheetData>
  <mergeCells count="11">
    <mergeCell ref="A1:D1"/>
    <mergeCell ref="A2:D2"/>
    <mergeCell ref="A4:D4"/>
    <mergeCell ref="A17:D17"/>
    <mergeCell ref="A27:D27"/>
    <mergeCell ref="A39:D39"/>
    <mergeCell ref="A54:D54"/>
    <mergeCell ref="A63:D63"/>
    <mergeCell ref="A70:F70"/>
    <mergeCell ref="A85:F85"/>
    <mergeCell ref="A93:F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2026-09-14T00:55:25Z</dcterms:created>
  <dc:creator>openpyxl</dc:creator>
  <dc:description/>
  <dc:language>en-US</dc:language>
  <cp:lastModifiedBy/>
  <dcterms:modified xsi:type="dcterms:W3CDTF">2026-09-14T11:10:19Z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